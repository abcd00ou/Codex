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'01_Benchmark_Input'!$A$1:$AJ$10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'03_Calculation'!$A$1:$AC$181</definedName>
    <definedName name="_xlnm._FilterDatabase" localSheetId="6" hidden="1">'05_Checks'!$A$1:$C$9</definedName>
    <definedName name="_xlnm._FilterDatabase" localSheetId="8" hidden="1">'07_Source_Registry'!$A$1:$I$72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8192/1024, agentic은 Kimi K2.5 dynamic reasoning에서 산출한 agentic/long TPS/MW ratio를 long-context TPS/MW에 적용합니다.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798842</v>
      </c>
      <c r="I2" s="7" t="n">
        <v>533670</v>
      </c>
      <c r="J2" s="7" t="n">
        <v>58008</v>
      </c>
      <c r="K2" s="8">
        <f>D2*H2+E2*I2+F2*J2</f>
        <v/>
      </c>
      <c r="L2" s="3" t="inlineStr">
        <is>
          <t>Public reference selected</t>
        </is>
      </c>
      <c r="M2" s="7" t="n">
        <v>1699560</v>
      </c>
      <c r="N2" s="7" t="n">
        <v>1189057</v>
      </c>
      <c r="O2" s="7" t="n">
        <v>129245</v>
      </c>
      <c r="P2" s="8">
        <f>D2*M2+E2*N2+F2*O2</f>
        <v/>
      </c>
      <c r="Q2" s="3" t="inlineStr">
        <is>
          <t>Public reference selected</t>
        </is>
      </c>
      <c r="R2" s="7" t="n">
        <v>1699560</v>
      </c>
      <c r="S2" s="7" t="n">
        <v>1189057</v>
      </c>
      <c r="T2" s="7" t="n">
        <v>129245</v>
      </c>
      <c r="U2" s="8">
        <f>D2*R2+E2*S2+F2*T2</f>
        <v/>
      </c>
      <c r="V2" s="3" t="inlineStr">
        <is>
          <t>B200 placeholder - insufficient/missing matched rows; editable input</t>
        </is>
      </c>
      <c r="W2" s="7" t="n">
        <v>1699560</v>
      </c>
      <c r="X2" s="7" t="n">
        <v>1189057</v>
      </c>
      <c r="Y2" s="7" t="n">
        <v>129245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11%; agentic/tool workflow derived from Kimi K2.5 dynamic reasoning</t>
        </is>
      </c>
      <c r="AJ2" s="3" t="inlineStr">
        <is>
          <t>TPS/MW rows are filtered to model-level main config, single_turn, matched ISL/OSL and concurrency 32-256;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123401</v>
      </c>
      <c r="I3" s="7" t="n">
        <v>68876</v>
      </c>
      <c r="J3" s="7" t="n">
        <v>7487</v>
      </c>
      <c r="K3" s="8">
        <f>D3*H3+E3*I3+F3*J3</f>
        <v/>
      </c>
      <c r="L3" s="3" t="inlineStr">
        <is>
          <t>B200 placeholder - insufficient/missing matched rows; editable input</t>
        </is>
      </c>
      <c r="M3" s="7" t="n">
        <v>95664</v>
      </c>
      <c r="N3" s="7" t="n">
        <v>72484</v>
      </c>
      <c r="O3" s="7" t="n">
        <v>7879</v>
      </c>
      <c r="P3" s="8">
        <f>D3*M3+E3*N3+F3*O3</f>
        <v/>
      </c>
      <c r="Q3" s="3" t="inlineStr">
        <is>
          <t>B200 placeholder - insufficient/missing matched rows; editable input</t>
        </is>
      </c>
      <c r="R3" s="7" t="n">
        <v>88597</v>
      </c>
      <c r="S3" s="7" t="n">
        <v>81509</v>
      </c>
      <c r="T3" s="7" t="n">
        <v>8860</v>
      </c>
      <c r="U3" s="8">
        <f>D3*R3+E3*S3+F3*T3</f>
        <v/>
      </c>
      <c r="V3" s="3" t="inlineStr">
        <is>
          <t>B200 placeholder - insufficient/missing matched rows; editable input</t>
        </is>
      </c>
      <c r="W3" s="7" t="n">
        <v>95664</v>
      </c>
      <c r="X3" s="7" t="n">
        <v>72484</v>
      </c>
      <c r="Y3" s="7" t="n">
        <v>7879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11%; agentic/tool workflow derived from Kimi K2.5 dynamic reasoning</t>
        </is>
      </c>
      <c r="AJ3" s="3" t="inlineStr">
        <is>
          <t>TPS/MW rows are filtered to model-level main config, single_turn, matched ISL/OSL and concurrency 32-256;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486775</v>
      </c>
      <c r="I4" s="7" t="n">
        <v>189727</v>
      </c>
      <c r="J4" s="7" t="n">
        <v>20623</v>
      </c>
      <c r="K4" s="8">
        <f>D4*H4+E4*I4+F4*J4</f>
        <v/>
      </c>
      <c r="L4" s="3" t="inlineStr">
        <is>
          <t>Public reference selected</t>
        </is>
      </c>
      <c r="M4" s="7" t="n">
        <v>528285</v>
      </c>
      <c r="N4" s="7" t="n">
        <v>269299</v>
      </c>
      <c r="O4" s="7" t="n">
        <v>29272</v>
      </c>
      <c r="P4" s="8">
        <f>D4*M4+E4*N4+F4*O4</f>
        <v/>
      </c>
      <c r="Q4" s="3" t="inlineStr">
        <is>
          <t>Public reference selected</t>
        </is>
      </c>
      <c r="R4" s="7" t="n">
        <v>528285</v>
      </c>
      <c r="S4" s="7" t="n">
        <v>269299</v>
      </c>
      <c r="T4" s="7" t="n">
        <v>29272</v>
      </c>
      <c r="U4" s="8">
        <f>D4*R4+E4*S4+F4*T4</f>
        <v/>
      </c>
      <c r="V4" s="3" t="inlineStr">
        <is>
          <t>B200 placeholder - insufficient/missing matched rows; editable input</t>
        </is>
      </c>
      <c r="W4" s="7" t="n">
        <v>528285</v>
      </c>
      <c r="X4" s="7" t="n">
        <v>269299</v>
      </c>
      <c r="Y4" s="7" t="n">
        <v>29272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11%; agentic/tool workflow derived from Kimi K2.5 dynamic reasoning</t>
        </is>
      </c>
      <c r="AJ4" s="3" t="inlineStr">
        <is>
          <t>TPS/MW rows are filtered to model-level main config, single_turn, matched ISL/OSL and concurrency 32-256;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798842</v>
      </c>
      <c r="I5" s="7" t="n">
        <v>533670</v>
      </c>
      <c r="J5" s="7" t="n">
        <v>58008</v>
      </c>
      <c r="K5" s="8">
        <f>D5*H5+E5*I5+F5*J5</f>
        <v/>
      </c>
      <c r="L5" s="3" t="inlineStr">
        <is>
          <t>Public reference selected</t>
        </is>
      </c>
      <c r="M5" s="7" t="n">
        <v>1699560</v>
      </c>
      <c r="N5" s="7" t="n">
        <v>1189057</v>
      </c>
      <c r="O5" s="7" t="n">
        <v>129245</v>
      </c>
      <c r="P5" s="8">
        <f>D5*M5+E5*N5+F5*O5</f>
        <v/>
      </c>
      <c r="Q5" s="3" t="inlineStr">
        <is>
          <t>Public reference selected</t>
        </is>
      </c>
      <c r="R5" s="7" t="n">
        <v>1699560</v>
      </c>
      <c r="S5" s="7" t="n">
        <v>1189057</v>
      </c>
      <c r="T5" s="7" t="n">
        <v>129245</v>
      </c>
      <c r="U5" s="8">
        <f>D5*R5+E5*S5+F5*T5</f>
        <v/>
      </c>
      <c r="V5" s="3" t="inlineStr">
        <is>
          <t>B200 placeholder - insufficient/missing matched rows; editable input</t>
        </is>
      </c>
      <c r="W5" s="7" t="n">
        <v>1699560</v>
      </c>
      <c r="X5" s="7" t="n">
        <v>1189057</v>
      </c>
      <c r="Y5" s="7" t="n">
        <v>129245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11%; agentic/tool workflow derived from Kimi K2.5 dynamic reasoning</t>
        </is>
      </c>
      <c r="AJ5" s="3" t="inlineStr">
        <is>
          <t>TPS/MW rows are filtered to model-level main config, single_turn, matched ISL/OSL and concurrency 32-256;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123401</v>
      </c>
      <c r="I6" s="7" t="n">
        <v>68876</v>
      </c>
      <c r="J6" s="7" t="n">
        <v>7487</v>
      </c>
      <c r="K6" s="8">
        <f>D6*H6+E6*I6+F6*J6</f>
        <v/>
      </c>
      <c r="L6" s="3" t="inlineStr">
        <is>
          <t>B200 placeholder - insufficient/missing matched rows; editable input</t>
        </is>
      </c>
      <c r="M6" s="7" t="n">
        <v>95664</v>
      </c>
      <c r="N6" s="7" t="n">
        <v>72484</v>
      </c>
      <c r="O6" s="7" t="n">
        <v>7879</v>
      </c>
      <c r="P6" s="8">
        <f>D6*M6+E6*N6+F6*O6</f>
        <v/>
      </c>
      <c r="Q6" s="3" t="inlineStr">
        <is>
          <t>B200 placeholder - insufficient/missing matched rows; editable input</t>
        </is>
      </c>
      <c r="R6" s="7" t="n">
        <v>88597</v>
      </c>
      <c r="S6" s="7" t="n">
        <v>81509</v>
      </c>
      <c r="T6" s="7" t="n">
        <v>8860</v>
      </c>
      <c r="U6" s="8">
        <f>D6*R6+E6*S6+F6*T6</f>
        <v/>
      </c>
      <c r="V6" s="3" t="inlineStr">
        <is>
          <t>B200 placeholder - insufficient/missing matched rows; editable input</t>
        </is>
      </c>
      <c r="W6" s="7" t="n">
        <v>95664</v>
      </c>
      <c r="X6" s="7" t="n">
        <v>72484</v>
      </c>
      <c r="Y6" s="7" t="n">
        <v>7879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11%; agentic/tool workflow derived from Kimi K2.5 dynamic reasoning</t>
        </is>
      </c>
      <c r="AJ6" s="3" t="inlineStr">
        <is>
          <t>TPS/MW rows are filtered to model-level main config, single_turn, matched ISL/OSL and concurrency 32-256;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123401</v>
      </c>
      <c r="I7" s="7" t="n">
        <v>68876</v>
      </c>
      <c r="J7" s="7" t="n">
        <v>7487</v>
      </c>
      <c r="K7" s="8">
        <f>D7*H7+E7*I7+F7*J7</f>
        <v/>
      </c>
      <c r="L7" s="3" t="inlineStr">
        <is>
          <t>B200 placeholder - insufficient/missing matched rows; editable input</t>
        </is>
      </c>
      <c r="M7" s="7" t="n">
        <v>95664</v>
      </c>
      <c r="N7" s="7" t="n">
        <v>72484</v>
      </c>
      <c r="O7" s="7" t="n">
        <v>7879</v>
      </c>
      <c r="P7" s="8">
        <f>D7*M7+E7*N7+F7*O7</f>
        <v/>
      </c>
      <c r="Q7" s="3" t="inlineStr">
        <is>
          <t>B200 placeholder - insufficient/missing matched rows; editable input</t>
        </is>
      </c>
      <c r="R7" s="7" t="n">
        <v>88597</v>
      </c>
      <c r="S7" s="7" t="n">
        <v>81509</v>
      </c>
      <c r="T7" s="7" t="n">
        <v>8860</v>
      </c>
      <c r="U7" s="8">
        <f>D7*R7+E7*S7+F7*T7</f>
        <v/>
      </c>
      <c r="V7" s="3" t="inlineStr">
        <is>
          <t>B200 placeholder - insufficient/missing matched rows; editable input</t>
        </is>
      </c>
      <c r="W7" s="7" t="n">
        <v>95664</v>
      </c>
      <c r="X7" s="7" t="n">
        <v>72484</v>
      </c>
      <c r="Y7" s="7" t="n">
        <v>7879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11%; agentic/tool workflow derived from Kimi K2.5 dynamic reasoning</t>
        </is>
      </c>
      <c r="AJ7" s="3" t="inlineStr">
        <is>
          <t>TPS/MW rows are filtered to model-level main config, single_turn, matched ISL/OSL and concurrency 32-256;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103277</v>
      </c>
      <c r="I8" s="7" t="n">
        <v>74906</v>
      </c>
      <c r="J8" s="7" t="n">
        <v>8142</v>
      </c>
      <c r="K8" s="8">
        <f>D8*H8+E8*I8+F8*J8</f>
        <v/>
      </c>
      <c r="L8" s="3" t="inlineStr">
        <is>
          <t>Public reference selected</t>
        </is>
      </c>
      <c r="M8" s="7" t="n">
        <v>127759</v>
      </c>
      <c r="N8" s="7" t="n">
        <v>74797</v>
      </c>
      <c r="O8" s="7" t="n">
        <v>8130</v>
      </c>
      <c r="P8" s="8">
        <f>D8*M8+E8*N8+F8*O8</f>
        <v/>
      </c>
      <c r="Q8" s="3" t="inlineStr">
        <is>
          <t>Public reference selected</t>
        </is>
      </c>
      <c r="R8" s="7" t="n">
        <v>127759</v>
      </c>
      <c r="S8" s="7" t="n">
        <v>74797</v>
      </c>
      <c r="T8" s="7" t="n">
        <v>8130</v>
      </c>
      <c r="U8" s="8">
        <f>D8*R8+E8*S8+F8*T8</f>
        <v/>
      </c>
      <c r="V8" s="3" t="inlineStr">
        <is>
          <t>B200 placeholder - insufficient/missing matched rows; editable input</t>
        </is>
      </c>
      <c r="W8" s="7" t="n">
        <v>127759</v>
      </c>
      <c r="X8" s="7" t="n">
        <v>74797</v>
      </c>
      <c r="Y8" s="7" t="n">
        <v>8130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11%; agentic/tool workflow derived from Kimi K2.5 dynamic reasoning</t>
        </is>
      </c>
      <c r="AJ8" s="3" t="inlineStr">
        <is>
          <t>TPS/MW rows are filtered to model-level main config, single_turn, matched ISL/OSL and concurrency 32-256;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161817</v>
      </c>
      <c r="I9" s="7" t="n">
        <v>116014</v>
      </c>
      <c r="J9" s="7" t="n">
        <v>12610</v>
      </c>
      <c r="K9" s="8">
        <f>D9*H9+E9*I9+F9*J9</f>
        <v/>
      </c>
      <c r="L9" s="3" t="inlineStr">
        <is>
          <t>B200 placeholder - insufficient/missing matched rows; editable input</t>
        </is>
      </c>
      <c r="M9" s="7" t="n">
        <v>544655</v>
      </c>
      <c r="N9" s="7" t="n">
        <v>268718</v>
      </c>
      <c r="O9" s="7" t="n">
        <v>29208</v>
      </c>
      <c r="P9" s="8">
        <f>D9*M9+E9*N9+F9*O9</f>
        <v/>
      </c>
      <c r="Q9" s="3" t="inlineStr">
        <is>
          <t>B200 placeholder - insufficient/missing matched rows; editable input</t>
        </is>
      </c>
      <c r="R9" s="7" t="n">
        <v>544655</v>
      </c>
      <c r="S9" s="7" t="n">
        <v>268718</v>
      </c>
      <c r="T9" s="7" t="n">
        <v>29208</v>
      </c>
      <c r="U9" s="8">
        <f>D9*R9+E9*S9+F9*T9</f>
        <v/>
      </c>
      <c r="V9" s="3" t="inlineStr">
        <is>
          <t>B200 placeholder - insufficient/missing matched rows; editable input</t>
        </is>
      </c>
      <c r="W9" s="7" t="n">
        <v>544655</v>
      </c>
      <c r="X9" s="7" t="n">
        <v>268718</v>
      </c>
      <c r="Y9" s="7" t="n">
        <v>29208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11%; agentic/tool workflow derived from Kimi K2.5 dynamic reasoning</t>
        </is>
      </c>
      <c r="AJ9" s="3" t="inlineStr">
        <is>
          <t>TPS/MW rows are filtered to model-level main config, single_turn, matched ISL/OSL and concurrency 32-256;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798842</v>
      </c>
      <c r="I10" s="7" t="n">
        <v>533670</v>
      </c>
      <c r="J10" s="7" t="n">
        <v>58008</v>
      </c>
      <c r="K10" s="8">
        <f>D10*H10+E10*I10+F10*J10</f>
        <v/>
      </c>
      <c r="L10" s="3" t="inlineStr">
        <is>
          <t>Public reference selected</t>
        </is>
      </c>
      <c r="M10" s="7" t="n">
        <v>1699560</v>
      </c>
      <c r="N10" s="7" t="n">
        <v>1189057</v>
      </c>
      <c r="O10" s="7" t="n">
        <v>129245</v>
      </c>
      <c r="P10" s="8">
        <f>D10*M10+E10*N10+F10*O10</f>
        <v/>
      </c>
      <c r="Q10" s="3" t="inlineStr">
        <is>
          <t>Public reference selected</t>
        </is>
      </c>
      <c r="R10" s="7" t="n">
        <v>1699560</v>
      </c>
      <c r="S10" s="7" t="n">
        <v>1189057</v>
      </c>
      <c r="T10" s="7" t="n">
        <v>129245</v>
      </c>
      <c r="U10" s="8">
        <f>D10*R10+E10*S10+F10*T10</f>
        <v/>
      </c>
      <c r="V10" s="3" t="inlineStr">
        <is>
          <t>B200 placeholder - insufficient/missing matched rows; editable input</t>
        </is>
      </c>
      <c r="W10" s="7" t="n">
        <v>1699560</v>
      </c>
      <c r="X10" s="7" t="n">
        <v>1189057</v>
      </c>
      <c r="Y10" s="7" t="n">
        <v>129245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11%; agentic/tool workflow derived from Kimi K2.5 dynamic reasoning</t>
        </is>
      </c>
      <c r="AJ10" s="3" t="inlineStr">
        <is>
          <t>TPS/MW rows are filtered to model-level main config, single_turn, matched ISL/OSL and concurrency 32-256;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9" t="n">
        <v>4</v>
      </c>
      <c r="E2" s="10" t="n">
        <v>0.405</v>
      </c>
      <c r="F2" s="9" t="n">
        <v>1.2</v>
      </c>
      <c r="G2" s="10" t="n">
        <v>0.86</v>
      </c>
      <c r="H2" s="10" t="n">
        <v>0.47</v>
      </c>
      <c r="I2" s="11">
        <f>INDEX('01_Benchmark_Input'!$B$2:$B$10,MATCH(B2,'01_Benchmark_Input'!$A$2:$A$10,0))</f>
        <v/>
      </c>
      <c r="J2" s="11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9" t="n">
        <v>5.25</v>
      </c>
      <c r="E3" s="10" t="n">
        <v>0.48609524</v>
      </c>
      <c r="F3" s="9" t="n">
        <v>1.2</v>
      </c>
      <c r="G3" s="10" t="n">
        <v>0.86</v>
      </c>
      <c r="H3" s="10" t="n">
        <v>0.515</v>
      </c>
      <c r="I3" s="11">
        <f>INDEX('01_Benchmark_Input'!$B$2:$B$10,MATCH(B3,'01_Benchmark_Input'!$A$2:$A$10,0))</f>
        <v/>
      </c>
      <c r="J3" s="11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9" t="n">
        <v>6.5</v>
      </c>
      <c r="E4" s="10" t="n">
        <v>0.52923077</v>
      </c>
      <c r="F4" s="9" t="n">
        <v>1.2</v>
      </c>
      <c r="G4" s="10" t="n">
        <v>0.86</v>
      </c>
      <c r="H4" s="10" t="n">
        <v>0.5600000000000001</v>
      </c>
      <c r="I4" s="11">
        <f>INDEX('01_Benchmark_Input'!$B$2:$B$10,MATCH(B4,'01_Benchmark_Input'!$A$2:$A$10,0))</f>
        <v/>
      </c>
      <c r="J4" s="11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9" t="n">
        <v>7.75</v>
      </c>
      <c r="E5" s="10" t="n">
        <v>0.5527741900000001</v>
      </c>
      <c r="F5" s="9" t="n">
        <v>1.2</v>
      </c>
      <c r="G5" s="10" t="n">
        <v>0.86</v>
      </c>
      <c r="H5" s="10" t="n">
        <v>0.605</v>
      </c>
      <c r="I5" s="11">
        <f>INDEX('01_Benchmark_Input'!$B$2:$B$10,MATCH(B5,'01_Benchmark_Input'!$A$2:$A$10,0))</f>
        <v/>
      </c>
      <c r="J5" s="11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9" t="n">
        <v>9</v>
      </c>
      <c r="E6" s="10" t="n">
        <v>0.56488889</v>
      </c>
      <c r="F6" s="9" t="n">
        <v>1.2</v>
      </c>
      <c r="G6" s="10" t="n">
        <v>0.86</v>
      </c>
      <c r="H6" s="10" t="n">
        <v>0.65</v>
      </c>
      <c r="I6" s="11">
        <f>INDEX('01_Benchmark_Input'!$B$2:$B$10,MATCH(B6,'01_Benchmark_Input'!$A$2:$A$10,0))</f>
        <v/>
      </c>
      <c r="J6" s="11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9" t="n">
        <v>4.5</v>
      </c>
      <c r="E7" s="10" t="n">
        <v>0.44</v>
      </c>
      <c r="F7" s="9" t="n">
        <v>1.18</v>
      </c>
      <c r="G7" s="10" t="n">
        <v>0.88</v>
      </c>
      <c r="H7" s="10" t="n">
        <v>0.47</v>
      </c>
      <c r="I7" s="11">
        <f>INDEX('01_Benchmark_Input'!$B$2:$B$10,MATCH(B7,'01_Benchmark_Input'!$A$2:$A$10,0))</f>
        <v/>
      </c>
      <c r="J7" s="11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9" t="n">
        <v>5.375</v>
      </c>
      <c r="E8" s="10" t="n">
        <v>0.54846512</v>
      </c>
      <c r="F8" s="9" t="n">
        <v>1.18</v>
      </c>
      <c r="G8" s="10" t="n">
        <v>0.88</v>
      </c>
      <c r="H8" s="10" t="n">
        <v>0.508</v>
      </c>
      <c r="I8" s="11">
        <f>INDEX('01_Benchmark_Input'!$B$2:$B$10,MATCH(B8,'01_Benchmark_Input'!$A$2:$A$10,0))</f>
        <v/>
      </c>
      <c r="J8" s="11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9" t="n">
        <v>6.25</v>
      </c>
      <c r="E9" s="10" t="n">
        <v>0.6192</v>
      </c>
      <c r="F9" s="9" t="n">
        <v>1.18</v>
      </c>
      <c r="G9" s="10" t="n">
        <v>0.88</v>
      </c>
      <c r="H9" s="10" t="n">
        <v>0.545</v>
      </c>
      <c r="I9" s="11">
        <f>INDEX('01_Benchmark_Input'!$B$2:$B$10,MATCH(B9,'01_Benchmark_Input'!$A$2:$A$10,0))</f>
        <v/>
      </c>
      <c r="J9" s="11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9" t="n">
        <v>7.125</v>
      </c>
      <c r="E10" s="10" t="n">
        <v>0.66610526</v>
      </c>
      <c r="F10" s="9" t="n">
        <v>1.18</v>
      </c>
      <c r="G10" s="10" t="n">
        <v>0.88</v>
      </c>
      <c r="H10" s="10" t="n">
        <v>0.583</v>
      </c>
      <c r="I10" s="11">
        <f>INDEX('01_Benchmark_Input'!$B$2:$B$10,MATCH(B10,'01_Benchmark_Input'!$A$2:$A$10,0))</f>
        <v/>
      </c>
      <c r="J10" s="11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9" t="n">
        <v>8</v>
      </c>
      <c r="E11" s="10" t="n">
        <v>0.697</v>
      </c>
      <c r="F11" s="9" t="n">
        <v>1.18</v>
      </c>
      <c r="G11" s="10" t="n">
        <v>0.88</v>
      </c>
      <c r="H11" s="10" t="n">
        <v>0.62</v>
      </c>
      <c r="I11" s="11">
        <f>INDEX('01_Benchmark_Input'!$B$2:$B$10,MATCH(B11,'01_Benchmark_Input'!$A$2:$A$10,0))</f>
        <v/>
      </c>
      <c r="J11" s="11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9" t="n">
        <v>3.5</v>
      </c>
      <c r="E12" s="10" t="n">
        <v>0.41142857</v>
      </c>
      <c r="F12" s="9" t="n">
        <v>1.2</v>
      </c>
      <c r="G12" s="10" t="n">
        <v>0.87</v>
      </c>
      <c r="H12" s="10" t="n">
        <v>0.5</v>
      </c>
      <c r="I12" s="11">
        <f>INDEX('01_Benchmark_Input'!$B$2:$B$10,MATCH(B12,'01_Benchmark_Input'!$A$2:$A$10,0))</f>
        <v/>
      </c>
      <c r="J12" s="11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9" t="n">
        <v>4.375</v>
      </c>
      <c r="E13" s="10" t="n">
        <v>0.53302857</v>
      </c>
      <c r="F13" s="9" t="n">
        <v>1.2</v>
      </c>
      <c r="G13" s="10" t="n">
        <v>0.87</v>
      </c>
      <c r="H13" s="10" t="n">
        <v>0.545</v>
      </c>
      <c r="I13" s="11">
        <f>INDEX('01_Benchmark_Input'!$B$2:$B$10,MATCH(B13,'01_Benchmark_Input'!$A$2:$A$10,0))</f>
        <v/>
      </c>
      <c r="J13" s="11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9" t="n">
        <v>5.25</v>
      </c>
      <c r="E14" s="10" t="n">
        <v>0.60609524</v>
      </c>
      <c r="F14" s="9" t="n">
        <v>1.2</v>
      </c>
      <c r="G14" s="10" t="n">
        <v>0.87</v>
      </c>
      <c r="H14" s="10" t="n">
        <v>0.59</v>
      </c>
      <c r="I14" s="11">
        <f>INDEX('01_Benchmark_Input'!$B$2:$B$10,MATCH(B14,'01_Benchmark_Input'!$A$2:$A$10,0))</f>
        <v/>
      </c>
      <c r="J14" s="11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9" t="n">
        <v>6.125</v>
      </c>
      <c r="E15" s="10" t="n">
        <v>0.65142857</v>
      </c>
      <c r="F15" s="9" t="n">
        <v>1.2</v>
      </c>
      <c r="G15" s="10" t="n">
        <v>0.87</v>
      </c>
      <c r="H15" s="10" t="n">
        <v>0.635</v>
      </c>
      <c r="I15" s="11">
        <f>INDEX('01_Benchmark_Input'!$B$2:$B$10,MATCH(B15,'01_Benchmark_Input'!$A$2:$A$10,0))</f>
        <v/>
      </c>
      <c r="J15" s="11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9" t="n">
        <v>7</v>
      </c>
      <c r="E16" s="10" t="n">
        <v>0.67942857</v>
      </c>
      <c r="F16" s="9" t="n">
        <v>1.2</v>
      </c>
      <c r="G16" s="10" t="n">
        <v>0.87</v>
      </c>
      <c r="H16" s="10" t="n">
        <v>0.68</v>
      </c>
      <c r="I16" s="11">
        <f>INDEX('01_Benchmark_Input'!$B$2:$B$10,MATCH(B16,'01_Benchmark_Input'!$A$2:$A$10,0))</f>
        <v/>
      </c>
      <c r="J16" s="11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9" t="n">
        <v>1</v>
      </c>
      <c r="E17" s="10" t="n">
        <v>0.315</v>
      </c>
      <c r="F17" s="9" t="n">
        <v>1.22</v>
      </c>
      <c r="G17" s="10" t="n">
        <v>0.85</v>
      </c>
      <c r="H17" s="10" t="n">
        <v>0.37</v>
      </c>
      <c r="I17" s="11">
        <f>INDEX('01_Benchmark_Input'!$B$2:$B$10,MATCH(B17,'01_Benchmark_Input'!$A$2:$A$10,0))</f>
        <v/>
      </c>
      <c r="J17" s="11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9" t="n">
        <v>1.5</v>
      </c>
      <c r="E18" s="10" t="n">
        <v>0.52066667</v>
      </c>
      <c r="F18" s="9" t="n">
        <v>1.22</v>
      </c>
      <c r="G18" s="10" t="n">
        <v>0.85</v>
      </c>
      <c r="H18" s="10" t="n">
        <v>0.427</v>
      </c>
      <c r="I18" s="11">
        <f>INDEX('01_Benchmark_Input'!$B$2:$B$10,MATCH(B18,'01_Benchmark_Input'!$A$2:$A$10,0))</f>
        <v/>
      </c>
      <c r="J18" s="11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9" t="n">
        <v>2</v>
      </c>
      <c r="E19" s="10" t="n">
        <v>0.6125</v>
      </c>
      <c r="F19" s="9" t="n">
        <v>1.22</v>
      </c>
      <c r="G19" s="10" t="n">
        <v>0.85</v>
      </c>
      <c r="H19" s="10" t="n">
        <v>0.485</v>
      </c>
      <c r="I19" s="11">
        <f>INDEX('01_Benchmark_Input'!$B$2:$B$10,MATCH(B19,'01_Benchmark_Input'!$A$2:$A$10,0))</f>
        <v/>
      </c>
      <c r="J19" s="11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9" t="n">
        <v>2.5</v>
      </c>
      <c r="E20" s="10" t="n">
        <v>0.6592</v>
      </c>
      <c r="F20" s="9" t="n">
        <v>1.22</v>
      </c>
      <c r="G20" s="10" t="n">
        <v>0.85</v>
      </c>
      <c r="H20" s="10" t="n">
        <v>0.542</v>
      </c>
      <c r="I20" s="11">
        <f>INDEX('01_Benchmark_Input'!$B$2:$B$10,MATCH(B20,'01_Benchmark_Input'!$A$2:$A$10,0))</f>
        <v/>
      </c>
      <c r="J20" s="11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9" t="n">
        <v>3</v>
      </c>
      <c r="E21" s="10" t="n">
        <v>0.68333333</v>
      </c>
      <c r="F21" s="9" t="n">
        <v>1.22</v>
      </c>
      <c r="G21" s="10" t="n">
        <v>0.85</v>
      </c>
      <c r="H21" s="10" t="n">
        <v>0.6</v>
      </c>
      <c r="I21" s="11">
        <f>INDEX('01_Benchmark_Input'!$B$2:$B$10,MATCH(B21,'01_Benchmark_Input'!$A$2:$A$10,0))</f>
        <v/>
      </c>
      <c r="J21" s="11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9" t="n">
        <v>5</v>
      </c>
      <c r="E22" s="10" t="n">
        <v>0.252</v>
      </c>
      <c r="F22" s="9" t="n">
        <v>1.2</v>
      </c>
      <c r="G22" s="10" t="n">
        <v>0.88</v>
      </c>
      <c r="H22" s="10" t="n">
        <v>0.5</v>
      </c>
      <c r="I22" s="11">
        <f>INDEX('01_Benchmark_Input'!$B$2:$B$10,MATCH(B22,'01_Benchmark_Input'!$A$2:$A$10,0))</f>
        <v/>
      </c>
      <c r="J22" s="11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9" t="n">
        <v>6.75</v>
      </c>
      <c r="E23" s="10" t="n">
        <v>0.41392593</v>
      </c>
      <c r="F23" s="9" t="n">
        <v>1.2</v>
      </c>
      <c r="G23" s="10" t="n">
        <v>0.88</v>
      </c>
      <c r="H23" s="10" t="n">
        <v>0.545</v>
      </c>
      <c r="I23" s="11">
        <f>INDEX('01_Benchmark_Input'!$B$2:$B$10,MATCH(B23,'01_Benchmark_Input'!$A$2:$A$10,0))</f>
        <v/>
      </c>
      <c r="J23" s="11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9" t="n">
        <v>8.5</v>
      </c>
      <c r="E24" s="10" t="n">
        <v>0.50082353</v>
      </c>
      <c r="F24" s="9" t="n">
        <v>1.2</v>
      </c>
      <c r="G24" s="10" t="n">
        <v>0.88</v>
      </c>
      <c r="H24" s="10" t="n">
        <v>0.59</v>
      </c>
      <c r="I24" s="11">
        <f>INDEX('01_Benchmark_Input'!$B$2:$B$10,MATCH(B24,'01_Benchmark_Input'!$A$2:$A$10,0))</f>
        <v/>
      </c>
      <c r="J24" s="11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9" t="n">
        <v>10.25</v>
      </c>
      <c r="E25" s="10" t="n">
        <v>0.55112195</v>
      </c>
      <c r="F25" s="9" t="n">
        <v>1.2</v>
      </c>
      <c r="G25" s="10" t="n">
        <v>0.88</v>
      </c>
      <c r="H25" s="10" t="n">
        <v>0.635</v>
      </c>
      <c r="I25" s="11">
        <f>INDEX('01_Benchmark_Input'!$B$2:$B$10,MATCH(B25,'01_Benchmark_Input'!$A$2:$A$10,0))</f>
        <v/>
      </c>
      <c r="J25" s="11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9" t="n">
        <v>12</v>
      </c>
      <c r="E26" s="10" t="n">
        <v>0.58083333</v>
      </c>
      <c r="F26" s="9" t="n">
        <v>1.2</v>
      </c>
      <c r="G26" s="10" t="n">
        <v>0.88</v>
      </c>
      <c r="H26" s="10" t="n">
        <v>0.68</v>
      </c>
      <c r="I26" s="11">
        <f>INDEX('01_Benchmark_Input'!$B$2:$B$10,MATCH(B26,'01_Benchmark_Input'!$A$2:$A$10,0))</f>
        <v/>
      </c>
      <c r="J26" s="11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9" t="n">
        <v>3.5</v>
      </c>
      <c r="E27" s="10" t="n">
        <v>0.25714286</v>
      </c>
      <c r="F27" s="9" t="n">
        <v>1.18</v>
      </c>
      <c r="G27" s="10" t="n">
        <v>0.86</v>
      </c>
      <c r="H27" s="10" t="n">
        <v>0.44</v>
      </c>
      <c r="I27" s="11">
        <f>INDEX('01_Benchmark_Input'!$B$2:$B$10,MATCH(B27,'01_Benchmark_Input'!$A$2:$A$10,0))</f>
        <v/>
      </c>
      <c r="J27" s="11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9" t="n">
        <v>4.375</v>
      </c>
      <c r="E28" s="10" t="n">
        <v>0.42742857</v>
      </c>
      <c r="F28" s="9" t="n">
        <v>1.18</v>
      </c>
      <c r="G28" s="10" t="n">
        <v>0.86</v>
      </c>
      <c r="H28" s="10" t="n">
        <v>0.49</v>
      </c>
      <c r="I28" s="11">
        <f>INDEX('01_Benchmark_Input'!$B$2:$B$10,MATCH(B28,'01_Benchmark_Input'!$A$2:$A$10,0))</f>
        <v/>
      </c>
      <c r="J28" s="11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9" t="n">
        <v>5.25</v>
      </c>
      <c r="E29" s="10" t="n">
        <v>0.53238095</v>
      </c>
      <c r="F29" s="9" t="n">
        <v>1.18</v>
      </c>
      <c r="G29" s="10" t="n">
        <v>0.86</v>
      </c>
      <c r="H29" s="10" t="n">
        <v>0.54</v>
      </c>
      <c r="I29" s="11">
        <f>INDEX('01_Benchmark_Input'!$B$2:$B$10,MATCH(B29,'01_Benchmark_Input'!$A$2:$A$10,0))</f>
        <v/>
      </c>
      <c r="J29" s="11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9" t="n">
        <v>6.125</v>
      </c>
      <c r="E30" s="10" t="n">
        <v>0.6</v>
      </c>
      <c r="F30" s="9" t="n">
        <v>1.18</v>
      </c>
      <c r="G30" s="10" t="n">
        <v>0.86</v>
      </c>
      <c r="H30" s="10" t="n">
        <v>0.59</v>
      </c>
      <c r="I30" s="11">
        <f>INDEX('01_Benchmark_Input'!$B$2:$B$10,MATCH(B30,'01_Benchmark_Input'!$A$2:$A$10,0))</f>
        <v/>
      </c>
      <c r="J30" s="11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9" t="n">
        <v>7</v>
      </c>
      <c r="E31" s="10" t="n">
        <v>0.64428571</v>
      </c>
      <c r="F31" s="9" t="n">
        <v>1.18</v>
      </c>
      <c r="G31" s="10" t="n">
        <v>0.86</v>
      </c>
      <c r="H31" s="10" t="n">
        <v>0.64</v>
      </c>
      <c r="I31" s="11">
        <f>INDEX('01_Benchmark_Input'!$B$2:$B$10,MATCH(B31,'01_Benchmark_Input'!$A$2:$A$10,0))</f>
        <v/>
      </c>
      <c r="J31" s="11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9" t="n">
        <v>0.5</v>
      </c>
      <c r="E32" s="10" t="n">
        <v>0.27</v>
      </c>
      <c r="F32" s="9" t="n">
        <v>1.24</v>
      </c>
      <c r="G32" s="10" t="n">
        <v>0.82</v>
      </c>
      <c r="H32" s="10" t="n">
        <v>0.54</v>
      </c>
      <c r="I32" s="11">
        <f>INDEX('01_Benchmark_Input'!$B$2:$B$10,MATCH(B32,'01_Benchmark_Input'!$A$2:$A$10,0))</f>
        <v/>
      </c>
      <c r="J32" s="11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9" t="n">
        <v>0.825</v>
      </c>
      <c r="E33" s="10" t="n">
        <v>0.44</v>
      </c>
      <c r="F33" s="9" t="n">
        <v>1.24</v>
      </c>
      <c r="G33" s="10" t="n">
        <v>0.82</v>
      </c>
      <c r="H33" s="10" t="n">
        <v>0.585</v>
      </c>
      <c r="I33" s="11">
        <f>INDEX('01_Benchmark_Input'!$B$2:$B$10,MATCH(B33,'01_Benchmark_Input'!$A$2:$A$10,0))</f>
        <v/>
      </c>
      <c r="J33" s="11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9" t="n">
        <v>1.15</v>
      </c>
      <c r="E34" s="10" t="n">
        <v>0.50521739</v>
      </c>
      <c r="F34" s="9" t="n">
        <v>1.24</v>
      </c>
      <c r="G34" s="10" t="n">
        <v>0.82</v>
      </c>
      <c r="H34" s="10" t="n">
        <v>0.63</v>
      </c>
      <c r="I34" s="11">
        <f>INDEX('01_Benchmark_Input'!$B$2:$B$10,MATCH(B34,'01_Benchmark_Input'!$A$2:$A$10,0))</f>
        <v/>
      </c>
      <c r="J34" s="11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9" t="n">
        <v>1.475</v>
      </c>
      <c r="E35" s="10" t="n">
        <v>0.53423729</v>
      </c>
      <c r="F35" s="9" t="n">
        <v>1.24</v>
      </c>
      <c r="G35" s="10" t="n">
        <v>0.82</v>
      </c>
      <c r="H35" s="10" t="n">
        <v>0.675</v>
      </c>
      <c r="I35" s="11">
        <f>INDEX('01_Benchmark_Input'!$B$2:$B$10,MATCH(B35,'01_Benchmark_Input'!$A$2:$A$10,0))</f>
        <v/>
      </c>
      <c r="J35" s="11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9" t="n">
        <v>1.8</v>
      </c>
      <c r="E36" s="10" t="n">
        <v>0.54666667</v>
      </c>
      <c r="F36" s="9" t="n">
        <v>1.24</v>
      </c>
      <c r="G36" s="10" t="n">
        <v>0.82</v>
      </c>
      <c r="H36" s="10" t="n">
        <v>0.72</v>
      </c>
      <c r="I36" s="11">
        <f>INDEX('01_Benchmark_Input'!$B$2:$B$10,MATCH(B36,'01_Benchmark_Input'!$A$2:$A$10,0))</f>
        <v/>
      </c>
      <c r="J36" s="11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9" t="n">
        <v>1.8</v>
      </c>
      <c r="E37" s="10" t="n">
        <v>0.325</v>
      </c>
      <c r="F37" s="9" t="n">
        <v>1.23</v>
      </c>
      <c r="G37" s="10" t="n">
        <v>0.84</v>
      </c>
      <c r="H37" s="10" t="n">
        <v>0.52</v>
      </c>
      <c r="I37" s="11">
        <f>INDEX('01_Benchmark_Input'!$B$2:$B$10,MATCH(B37,'01_Benchmark_Input'!$A$2:$A$10,0))</f>
        <v/>
      </c>
      <c r="J37" s="11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9" t="n">
        <v>2.35</v>
      </c>
      <c r="E38" s="10" t="n">
        <v>0.48212766</v>
      </c>
      <c r="F38" s="9" t="n">
        <v>1.23</v>
      </c>
      <c r="G38" s="10" t="n">
        <v>0.84</v>
      </c>
      <c r="H38" s="10" t="n">
        <v>0.5649999999999999</v>
      </c>
      <c r="I38" s="11">
        <f>INDEX('01_Benchmark_Input'!$B$2:$B$10,MATCH(B38,'01_Benchmark_Input'!$A$2:$A$10,0))</f>
        <v/>
      </c>
      <c r="J38" s="11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9" t="n">
        <v>2.9</v>
      </c>
      <c r="E39" s="10" t="n">
        <v>0.57103448</v>
      </c>
      <c r="F39" s="9" t="n">
        <v>1.23</v>
      </c>
      <c r="G39" s="10" t="n">
        <v>0.84</v>
      </c>
      <c r="H39" s="10" t="n">
        <v>0.61</v>
      </c>
      <c r="I39" s="11">
        <f>INDEX('01_Benchmark_Input'!$B$2:$B$10,MATCH(B39,'01_Benchmark_Input'!$A$2:$A$10,0))</f>
        <v/>
      </c>
      <c r="J39" s="11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9" t="n">
        <v>3.45</v>
      </c>
      <c r="E40" s="10" t="n">
        <v>0.62376812</v>
      </c>
      <c r="F40" s="9" t="n">
        <v>1.23</v>
      </c>
      <c r="G40" s="10" t="n">
        <v>0.84</v>
      </c>
      <c r="H40" s="10" t="n">
        <v>0.655</v>
      </c>
      <c r="I40" s="11">
        <f>INDEX('01_Benchmark_Input'!$B$2:$B$10,MATCH(B40,'01_Benchmark_Input'!$A$2:$A$10,0))</f>
        <v/>
      </c>
      <c r="J40" s="11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9" t="n">
        <v>4</v>
      </c>
      <c r="E41" s="10" t="n">
        <v>0.656</v>
      </c>
      <c r="F41" s="9" t="n">
        <v>1.23</v>
      </c>
      <c r="G41" s="10" t="n">
        <v>0.84</v>
      </c>
      <c r="H41" s="10" t="n">
        <v>0.7</v>
      </c>
      <c r="I41" s="11">
        <f>INDEX('01_Benchmark_Input'!$B$2:$B$10,MATCH(B41,'01_Benchmark_Input'!$A$2:$A$10,0))</f>
        <v/>
      </c>
      <c r="J41" s="11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9" t="n">
        <v>1.2</v>
      </c>
      <c r="E42" s="10" t="n">
        <v>0.3375</v>
      </c>
      <c r="F42" s="9" t="n">
        <v>1.23</v>
      </c>
      <c r="G42" s="10" t="n">
        <v>0.84</v>
      </c>
      <c r="H42" s="10" t="n">
        <v>0.52</v>
      </c>
      <c r="I42" s="11">
        <f>INDEX('01_Benchmark_Input'!$B$2:$B$10,MATCH(B42,'01_Benchmark_Input'!$A$2:$A$10,0))</f>
        <v/>
      </c>
      <c r="J42" s="11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9" t="n">
        <v>1.65</v>
      </c>
      <c r="E43" s="10" t="n">
        <v>0.5</v>
      </c>
      <c r="F43" s="9" t="n">
        <v>1.23</v>
      </c>
      <c r="G43" s="10" t="n">
        <v>0.84</v>
      </c>
      <c r="H43" s="10" t="n">
        <v>0.5649999999999999</v>
      </c>
      <c r="I43" s="11">
        <f>INDEX('01_Benchmark_Input'!$B$2:$B$10,MATCH(B43,'01_Benchmark_Input'!$A$2:$A$10,0))</f>
        <v/>
      </c>
      <c r="J43" s="11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9" t="n">
        <v>2.1</v>
      </c>
      <c r="E44" s="10" t="n">
        <v>0.58380952</v>
      </c>
      <c r="F44" s="9" t="n">
        <v>1.23</v>
      </c>
      <c r="G44" s="10" t="n">
        <v>0.84</v>
      </c>
      <c r="H44" s="10" t="n">
        <v>0.61</v>
      </c>
      <c r="I44" s="11">
        <f>INDEX('01_Benchmark_Input'!$B$2:$B$10,MATCH(B44,'01_Benchmark_Input'!$A$2:$A$10,0))</f>
        <v/>
      </c>
      <c r="J44" s="11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9" t="n">
        <v>2.55</v>
      </c>
      <c r="E45" s="10" t="n">
        <v>0.62980392</v>
      </c>
      <c r="F45" s="9" t="n">
        <v>1.23</v>
      </c>
      <c r="G45" s="10" t="n">
        <v>0.84</v>
      </c>
      <c r="H45" s="10" t="n">
        <v>0.655</v>
      </c>
      <c r="I45" s="11">
        <f>INDEX('01_Benchmark_Input'!$B$2:$B$10,MATCH(B45,'01_Benchmark_Input'!$A$2:$A$10,0))</f>
        <v/>
      </c>
      <c r="J45" s="11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9" t="n">
        <v>3</v>
      </c>
      <c r="E46" s="10" t="n">
        <v>0.656</v>
      </c>
      <c r="F46" s="9" t="n">
        <v>1.23</v>
      </c>
      <c r="G46" s="10" t="n">
        <v>0.84</v>
      </c>
      <c r="H46" s="10" t="n">
        <v>0.7</v>
      </c>
      <c r="I46" s="11">
        <f>INDEX('01_Benchmark_Input'!$B$2:$B$10,MATCH(B46,'01_Benchmark_Input'!$A$2:$A$10,0))</f>
        <v/>
      </c>
      <c r="J46" s="11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9" t="n">
        <v>4</v>
      </c>
      <c r="E47" s="10" t="n">
        <v>0.45</v>
      </c>
      <c r="F47" s="9" t="n">
        <v>1.2</v>
      </c>
      <c r="G47" s="10" t="n">
        <v>0.86</v>
      </c>
      <c r="H47" s="10" t="n">
        <v>0.55</v>
      </c>
      <c r="I47" s="11">
        <f>INDEX('01_Benchmark_Input'!$B$2:$B$10,MATCH(B47,'01_Benchmark_Input'!$A$2:$A$10,0))</f>
        <v/>
      </c>
      <c r="J47" s="11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9" t="n">
        <v>5.25</v>
      </c>
      <c r="E48" s="10" t="n">
        <v>0.55238095</v>
      </c>
      <c r="F48" s="9" t="n">
        <v>1.2</v>
      </c>
      <c r="G48" s="10" t="n">
        <v>0.86</v>
      </c>
      <c r="H48" s="10" t="n">
        <v>0.6</v>
      </c>
      <c r="I48" s="11">
        <f>INDEX('01_Benchmark_Input'!$B$2:$B$10,MATCH(B48,'01_Benchmark_Input'!$A$2:$A$10,0))</f>
        <v/>
      </c>
      <c r="J48" s="11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9" t="n">
        <v>6.5</v>
      </c>
      <c r="E49" s="10" t="n">
        <v>0.61538462</v>
      </c>
      <c r="F49" s="9" t="n">
        <v>1.2</v>
      </c>
      <c r="G49" s="10" t="n">
        <v>0.86</v>
      </c>
      <c r="H49" s="10" t="n">
        <v>0.65</v>
      </c>
      <c r="I49" s="11">
        <f>INDEX('01_Benchmark_Input'!$B$2:$B$10,MATCH(B49,'01_Benchmark_Input'!$A$2:$A$10,0))</f>
        <v/>
      </c>
      <c r="J49" s="11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9" t="n">
        <v>7.75</v>
      </c>
      <c r="E50" s="10" t="n">
        <v>0.65806452</v>
      </c>
      <c r="F50" s="9" t="n">
        <v>1.2</v>
      </c>
      <c r="G50" s="10" t="n">
        <v>0.86</v>
      </c>
      <c r="H50" s="10" t="n">
        <v>0.7</v>
      </c>
      <c r="I50" s="11">
        <f>INDEX('01_Benchmark_Input'!$B$2:$B$10,MATCH(B50,'01_Benchmark_Input'!$A$2:$A$10,0))</f>
        <v/>
      </c>
      <c r="J50" s="11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9" t="n">
        <v>9</v>
      </c>
      <c r="E51" s="10" t="n">
        <v>0.68888889</v>
      </c>
      <c r="F51" s="9" t="n">
        <v>1.2</v>
      </c>
      <c r="G51" s="10" t="n">
        <v>0.86</v>
      </c>
      <c r="H51" s="10" t="n">
        <v>0.75</v>
      </c>
      <c r="I51" s="11">
        <f>INDEX('01_Benchmark_Input'!$B$2:$B$10,MATCH(B51,'01_Benchmark_Input'!$A$2:$A$10,0))</f>
        <v/>
      </c>
      <c r="J51" s="11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9" t="n">
        <v>4.5</v>
      </c>
      <c r="E52" s="10" t="n">
        <v>0.48888889</v>
      </c>
      <c r="F52" s="9" t="n">
        <v>1.18</v>
      </c>
      <c r="G52" s="10" t="n">
        <v>0.88</v>
      </c>
      <c r="H52" s="10" t="n">
        <v>0.55</v>
      </c>
      <c r="I52" s="11">
        <f>INDEX('01_Benchmark_Input'!$B$2:$B$10,MATCH(B52,'01_Benchmark_Input'!$A$2:$A$10,0))</f>
        <v/>
      </c>
      <c r="J52" s="11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9" t="n">
        <v>5.375</v>
      </c>
      <c r="E53" s="10" t="n">
        <v>0.62325581</v>
      </c>
      <c r="F53" s="9" t="n">
        <v>1.18</v>
      </c>
      <c r="G53" s="10" t="n">
        <v>0.88</v>
      </c>
      <c r="H53" s="10" t="n">
        <v>0.593</v>
      </c>
      <c r="I53" s="11">
        <f>INDEX('01_Benchmark_Input'!$B$2:$B$10,MATCH(B53,'01_Benchmark_Input'!$A$2:$A$10,0))</f>
        <v/>
      </c>
      <c r="J53" s="11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9" t="n">
        <v>6.25</v>
      </c>
      <c r="E54" s="10" t="n">
        <v>0.72</v>
      </c>
      <c r="F54" s="9" t="n">
        <v>1.18</v>
      </c>
      <c r="G54" s="10" t="n">
        <v>0.88</v>
      </c>
      <c r="H54" s="10" t="n">
        <v>0.635</v>
      </c>
      <c r="I54" s="11">
        <f>INDEX('01_Benchmark_Input'!$B$2:$B$10,MATCH(B54,'01_Benchmark_Input'!$A$2:$A$10,0))</f>
        <v/>
      </c>
      <c r="J54" s="11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9" t="n">
        <v>7.125</v>
      </c>
      <c r="E55" s="10" t="n">
        <v>0.7929824599999999</v>
      </c>
      <c r="F55" s="9" t="n">
        <v>1.18</v>
      </c>
      <c r="G55" s="10" t="n">
        <v>0.88</v>
      </c>
      <c r="H55" s="10" t="n">
        <v>0.677</v>
      </c>
      <c r="I55" s="11">
        <f>INDEX('01_Benchmark_Input'!$B$2:$B$10,MATCH(B55,'01_Benchmark_Input'!$A$2:$A$10,0))</f>
        <v/>
      </c>
      <c r="J55" s="11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9" t="n">
        <v>8</v>
      </c>
      <c r="E56" s="10" t="n">
        <v>0.85</v>
      </c>
      <c r="F56" s="9" t="n">
        <v>1.18</v>
      </c>
      <c r="G56" s="10" t="n">
        <v>0.88</v>
      </c>
      <c r="H56" s="10" t="n">
        <v>0.72</v>
      </c>
      <c r="I56" s="11">
        <f>INDEX('01_Benchmark_Input'!$B$2:$B$10,MATCH(B56,'01_Benchmark_Input'!$A$2:$A$10,0))</f>
        <v/>
      </c>
      <c r="J56" s="11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9" t="n">
        <v>3.5</v>
      </c>
      <c r="E57" s="10" t="n">
        <v>0.45714286</v>
      </c>
      <c r="F57" s="9" t="n">
        <v>1.2</v>
      </c>
      <c r="G57" s="10" t="n">
        <v>0.87</v>
      </c>
      <c r="H57" s="10" t="n">
        <v>0.58</v>
      </c>
      <c r="I57" s="11">
        <f>INDEX('01_Benchmark_Input'!$B$2:$B$10,MATCH(B57,'01_Benchmark_Input'!$A$2:$A$10,0))</f>
        <v/>
      </c>
      <c r="J57" s="11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9" t="n">
        <v>4.375</v>
      </c>
      <c r="E58" s="10" t="n">
        <v>0.60571429</v>
      </c>
      <c r="F58" s="9" t="n">
        <v>1.2</v>
      </c>
      <c r="G58" s="10" t="n">
        <v>0.87</v>
      </c>
      <c r="H58" s="10" t="n">
        <v>0.63</v>
      </c>
      <c r="I58" s="11">
        <f>INDEX('01_Benchmark_Input'!$B$2:$B$10,MATCH(B58,'01_Benchmark_Input'!$A$2:$A$10,0))</f>
        <v/>
      </c>
      <c r="J58" s="11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9" t="n">
        <v>5.25</v>
      </c>
      <c r="E59" s="10" t="n">
        <v>0.7047619000000001</v>
      </c>
      <c r="F59" s="9" t="n">
        <v>1.2</v>
      </c>
      <c r="G59" s="10" t="n">
        <v>0.87</v>
      </c>
      <c r="H59" s="10" t="n">
        <v>0.68</v>
      </c>
      <c r="I59" s="11">
        <f>INDEX('01_Benchmark_Input'!$B$2:$B$10,MATCH(B59,'01_Benchmark_Input'!$A$2:$A$10,0))</f>
        <v/>
      </c>
      <c r="J59" s="11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9" t="n">
        <v>6.125</v>
      </c>
      <c r="E60" s="10" t="n">
        <v>0.7755102</v>
      </c>
      <c r="F60" s="9" t="n">
        <v>1.2</v>
      </c>
      <c r="G60" s="10" t="n">
        <v>0.87</v>
      </c>
      <c r="H60" s="10" t="n">
        <v>0.73</v>
      </c>
      <c r="I60" s="11">
        <f>INDEX('01_Benchmark_Input'!$B$2:$B$10,MATCH(B60,'01_Benchmark_Input'!$A$2:$A$10,0))</f>
        <v/>
      </c>
      <c r="J60" s="11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9" t="n">
        <v>7</v>
      </c>
      <c r="E61" s="10" t="n">
        <v>0.82857143</v>
      </c>
      <c r="F61" s="9" t="n">
        <v>1.2</v>
      </c>
      <c r="G61" s="10" t="n">
        <v>0.87</v>
      </c>
      <c r="H61" s="10" t="n">
        <v>0.78</v>
      </c>
      <c r="I61" s="11">
        <f>INDEX('01_Benchmark_Input'!$B$2:$B$10,MATCH(B61,'01_Benchmark_Input'!$A$2:$A$10,0))</f>
        <v/>
      </c>
      <c r="J61" s="11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9" t="n">
        <v>1</v>
      </c>
      <c r="E62" s="10" t="n">
        <v>0.35</v>
      </c>
      <c r="F62" s="9" t="n">
        <v>1.22</v>
      </c>
      <c r="G62" s="10" t="n">
        <v>0.85</v>
      </c>
      <c r="H62" s="10" t="n">
        <v>0.45</v>
      </c>
      <c r="I62" s="11">
        <f>INDEX('01_Benchmark_Input'!$B$2:$B$10,MATCH(B62,'01_Benchmark_Input'!$A$2:$A$10,0))</f>
        <v/>
      </c>
      <c r="J62" s="11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9" t="n">
        <v>1.5</v>
      </c>
      <c r="E63" s="10" t="n">
        <v>0.59133333</v>
      </c>
      <c r="F63" s="9" t="n">
        <v>1.22</v>
      </c>
      <c r="G63" s="10" t="n">
        <v>0.85</v>
      </c>
      <c r="H63" s="10" t="n">
        <v>0.512</v>
      </c>
      <c r="I63" s="11">
        <f>INDEX('01_Benchmark_Input'!$B$2:$B$10,MATCH(B63,'01_Benchmark_Input'!$A$2:$A$10,0))</f>
        <v/>
      </c>
      <c r="J63" s="11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9" t="n">
        <v>2</v>
      </c>
      <c r="E64" s="10" t="n">
        <v>0.7125</v>
      </c>
      <c r="F64" s="9" t="n">
        <v>1.22</v>
      </c>
      <c r="G64" s="10" t="n">
        <v>0.85</v>
      </c>
      <c r="H64" s="10" t="n">
        <v>0.575</v>
      </c>
      <c r="I64" s="11">
        <f>INDEX('01_Benchmark_Input'!$B$2:$B$10,MATCH(B64,'01_Benchmark_Input'!$A$2:$A$10,0))</f>
        <v/>
      </c>
      <c r="J64" s="11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9" t="n">
        <v>2.5</v>
      </c>
      <c r="E65" s="10" t="n">
        <v>0.7848000000000001</v>
      </c>
      <c r="F65" s="9" t="n">
        <v>1.22</v>
      </c>
      <c r="G65" s="10" t="n">
        <v>0.85</v>
      </c>
      <c r="H65" s="10" t="n">
        <v>0.637</v>
      </c>
      <c r="I65" s="11">
        <f>INDEX('01_Benchmark_Input'!$B$2:$B$10,MATCH(B65,'01_Benchmark_Input'!$A$2:$A$10,0))</f>
        <v/>
      </c>
      <c r="J65" s="11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9" t="n">
        <v>3</v>
      </c>
      <c r="E66" s="10" t="n">
        <v>0.83333333</v>
      </c>
      <c r="F66" s="9" t="n">
        <v>1.22</v>
      </c>
      <c r="G66" s="10" t="n">
        <v>0.85</v>
      </c>
      <c r="H66" s="10" t="n">
        <v>0.7</v>
      </c>
      <c r="I66" s="11">
        <f>INDEX('01_Benchmark_Input'!$B$2:$B$10,MATCH(B66,'01_Benchmark_Input'!$A$2:$A$10,0))</f>
        <v/>
      </c>
      <c r="J66" s="11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9" t="n">
        <v>5</v>
      </c>
      <c r="E67" s="10" t="n">
        <v>0.28</v>
      </c>
      <c r="F67" s="9" t="n">
        <v>1.2</v>
      </c>
      <c r="G67" s="10" t="n">
        <v>0.88</v>
      </c>
      <c r="H67" s="10" t="n">
        <v>0.58</v>
      </c>
      <c r="I67" s="11">
        <f>INDEX('01_Benchmark_Input'!$B$2:$B$10,MATCH(B67,'01_Benchmark_Input'!$A$2:$A$10,0))</f>
        <v/>
      </c>
      <c r="J67" s="11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9" t="n">
        <v>6.75</v>
      </c>
      <c r="E68" s="10" t="n">
        <v>0.47037037</v>
      </c>
      <c r="F68" s="9" t="n">
        <v>1.2</v>
      </c>
      <c r="G68" s="10" t="n">
        <v>0.88</v>
      </c>
      <c r="H68" s="10" t="n">
        <v>0.63</v>
      </c>
      <c r="I68" s="11">
        <f>INDEX('01_Benchmark_Input'!$B$2:$B$10,MATCH(B68,'01_Benchmark_Input'!$A$2:$A$10,0))</f>
        <v/>
      </c>
      <c r="J68" s="11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9" t="n">
        <v>8.5</v>
      </c>
      <c r="E69" s="10" t="n">
        <v>0.58235294</v>
      </c>
      <c r="F69" s="9" t="n">
        <v>1.2</v>
      </c>
      <c r="G69" s="10" t="n">
        <v>0.88</v>
      </c>
      <c r="H69" s="10" t="n">
        <v>0.68</v>
      </c>
      <c r="I69" s="11">
        <f>INDEX('01_Benchmark_Input'!$B$2:$B$10,MATCH(B69,'01_Benchmark_Input'!$A$2:$A$10,0))</f>
        <v/>
      </c>
      <c r="J69" s="11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9" t="n">
        <v>10.25</v>
      </c>
      <c r="E70" s="10" t="n">
        <v>0.65609756</v>
      </c>
      <c r="F70" s="9" t="n">
        <v>1.2</v>
      </c>
      <c r="G70" s="10" t="n">
        <v>0.88</v>
      </c>
      <c r="H70" s="10" t="n">
        <v>0.73</v>
      </c>
      <c r="I70" s="11">
        <f>INDEX('01_Benchmark_Input'!$B$2:$B$10,MATCH(B70,'01_Benchmark_Input'!$A$2:$A$10,0))</f>
        <v/>
      </c>
      <c r="J70" s="11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9" t="n">
        <v>12</v>
      </c>
      <c r="E71" s="10" t="n">
        <v>0.70833333</v>
      </c>
      <c r="F71" s="9" t="n">
        <v>1.2</v>
      </c>
      <c r="G71" s="10" t="n">
        <v>0.88</v>
      </c>
      <c r="H71" s="10" t="n">
        <v>0.78</v>
      </c>
      <c r="I71" s="11">
        <f>INDEX('01_Benchmark_Input'!$B$2:$B$10,MATCH(B71,'01_Benchmark_Input'!$A$2:$A$10,0))</f>
        <v/>
      </c>
      <c r="J71" s="11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9" t="n">
        <v>3.5</v>
      </c>
      <c r="E72" s="10" t="n">
        <v>0.28571429</v>
      </c>
      <c r="F72" s="9" t="n">
        <v>1.18</v>
      </c>
      <c r="G72" s="10" t="n">
        <v>0.86</v>
      </c>
      <c r="H72" s="10" t="n">
        <v>0.52</v>
      </c>
      <c r="I72" s="11">
        <f>INDEX('01_Benchmark_Input'!$B$2:$B$10,MATCH(B72,'01_Benchmark_Input'!$A$2:$A$10,0))</f>
        <v/>
      </c>
      <c r="J72" s="11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9" t="n">
        <v>4.375</v>
      </c>
      <c r="E73" s="10" t="n">
        <v>0.48571429</v>
      </c>
      <c r="F73" s="9" t="n">
        <v>1.18</v>
      </c>
      <c r="G73" s="10" t="n">
        <v>0.86</v>
      </c>
      <c r="H73" s="10" t="n">
        <v>0.575</v>
      </c>
      <c r="I73" s="11">
        <f>INDEX('01_Benchmark_Input'!$B$2:$B$10,MATCH(B73,'01_Benchmark_Input'!$A$2:$A$10,0))</f>
        <v/>
      </c>
      <c r="J73" s="11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9" t="n">
        <v>5.25</v>
      </c>
      <c r="E74" s="10" t="n">
        <v>0.61904762</v>
      </c>
      <c r="F74" s="9" t="n">
        <v>1.18</v>
      </c>
      <c r="G74" s="10" t="n">
        <v>0.86</v>
      </c>
      <c r="H74" s="10" t="n">
        <v>0.63</v>
      </c>
      <c r="I74" s="11">
        <f>INDEX('01_Benchmark_Input'!$B$2:$B$10,MATCH(B74,'01_Benchmark_Input'!$A$2:$A$10,0))</f>
        <v/>
      </c>
      <c r="J74" s="11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9" t="n">
        <v>6.125</v>
      </c>
      <c r="E75" s="10" t="n">
        <v>0.71428571</v>
      </c>
      <c r="F75" s="9" t="n">
        <v>1.18</v>
      </c>
      <c r="G75" s="10" t="n">
        <v>0.86</v>
      </c>
      <c r="H75" s="10" t="n">
        <v>0.6850000000000001</v>
      </c>
      <c r="I75" s="11">
        <f>INDEX('01_Benchmark_Input'!$B$2:$B$10,MATCH(B75,'01_Benchmark_Input'!$A$2:$A$10,0))</f>
        <v/>
      </c>
      <c r="J75" s="11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9" t="n">
        <v>7</v>
      </c>
      <c r="E76" s="10" t="n">
        <v>0.78571429</v>
      </c>
      <c r="F76" s="9" t="n">
        <v>1.18</v>
      </c>
      <c r="G76" s="10" t="n">
        <v>0.86</v>
      </c>
      <c r="H76" s="10" t="n">
        <v>0.74</v>
      </c>
      <c r="I76" s="11">
        <f>INDEX('01_Benchmark_Input'!$B$2:$B$10,MATCH(B76,'01_Benchmark_Input'!$A$2:$A$10,0))</f>
        <v/>
      </c>
      <c r="J76" s="11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9" t="n">
        <v>0.5</v>
      </c>
      <c r="E77" s="10" t="n">
        <v>0.3</v>
      </c>
      <c r="F77" s="9" t="n">
        <v>1.24</v>
      </c>
      <c r="G77" s="10" t="n">
        <v>0.82</v>
      </c>
      <c r="H77" s="10" t="n">
        <v>0.62</v>
      </c>
      <c r="I77" s="11">
        <f>INDEX('01_Benchmark_Input'!$B$2:$B$10,MATCH(B77,'01_Benchmark_Input'!$A$2:$A$10,0))</f>
        <v/>
      </c>
      <c r="J77" s="11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9" t="n">
        <v>0.825</v>
      </c>
      <c r="E78" s="10" t="n">
        <v>0.49939394</v>
      </c>
      <c r="F78" s="9" t="n">
        <v>1.24</v>
      </c>
      <c r="G78" s="10" t="n">
        <v>0.82</v>
      </c>
      <c r="H78" s="10" t="n">
        <v>0.67</v>
      </c>
      <c r="I78" s="11">
        <f>INDEX('01_Benchmark_Input'!$B$2:$B$10,MATCH(B78,'01_Benchmark_Input'!$A$2:$A$10,0))</f>
        <v/>
      </c>
      <c r="J78" s="11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9" t="n">
        <v>1.15</v>
      </c>
      <c r="E79" s="10" t="n">
        <v>0.58695652</v>
      </c>
      <c r="F79" s="9" t="n">
        <v>1.24</v>
      </c>
      <c r="G79" s="10" t="n">
        <v>0.82</v>
      </c>
      <c r="H79" s="10" t="n">
        <v>0.72</v>
      </c>
      <c r="I79" s="11">
        <f>INDEX('01_Benchmark_Input'!$B$2:$B$10,MATCH(B79,'01_Benchmark_Input'!$A$2:$A$10,0))</f>
        <v/>
      </c>
      <c r="J79" s="11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9" t="n">
        <v>1.475</v>
      </c>
      <c r="E80" s="10" t="n">
        <v>0.6359321999999999</v>
      </c>
      <c r="F80" s="9" t="n">
        <v>1.24</v>
      </c>
      <c r="G80" s="10" t="n">
        <v>0.82</v>
      </c>
      <c r="H80" s="10" t="n">
        <v>0.77</v>
      </c>
      <c r="I80" s="11">
        <f>INDEX('01_Benchmark_Input'!$B$2:$B$10,MATCH(B80,'01_Benchmark_Input'!$A$2:$A$10,0))</f>
        <v/>
      </c>
      <c r="J80" s="11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9" t="n">
        <v>1.8</v>
      </c>
      <c r="E81" s="10" t="n">
        <v>0.66666667</v>
      </c>
      <c r="F81" s="9" t="n">
        <v>1.24</v>
      </c>
      <c r="G81" s="10" t="n">
        <v>0.82</v>
      </c>
      <c r="H81" s="10" t="n">
        <v>0.82</v>
      </c>
      <c r="I81" s="11">
        <f>INDEX('01_Benchmark_Input'!$B$2:$B$10,MATCH(B81,'01_Benchmark_Input'!$A$2:$A$10,0))</f>
        <v/>
      </c>
      <c r="J81" s="11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9" t="n">
        <v>1.8</v>
      </c>
      <c r="E82" s="10" t="n">
        <v>0.36111111</v>
      </c>
      <c r="F82" s="9" t="n">
        <v>1.23</v>
      </c>
      <c r="G82" s="10" t="n">
        <v>0.84</v>
      </c>
      <c r="H82" s="10" t="n">
        <v>0.6</v>
      </c>
      <c r="I82" s="11">
        <f>INDEX('01_Benchmark_Input'!$B$2:$B$10,MATCH(B82,'01_Benchmark_Input'!$A$2:$A$10,0))</f>
        <v/>
      </c>
      <c r="J82" s="11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9" t="n">
        <v>2.35</v>
      </c>
      <c r="E83" s="10" t="n">
        <v>0.54808511</v>
      </c>
      <c r="F83" s="9" t="n">
        <v>1.23</v>
      </c>
      <c r="G83" s="10" t="n">
        <v>0.84</v>
      </c>
      <c r="H83" s="10" t="n">
        <v>0.65</v>
      </c>
      <c r="I83" s="11">
        <f>INDEX('01_Benchmark_Input'!$B$2:$B$10,MATCH(B83,'01_Benchmark_Input'!$A$2:$A$10,0))</f>
        <v/>
      </c>
      <c r="J83" s="11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9" t="n">
        <v>2.9</v>
      </c>
      <c r="E84" s="10" t="n">
        <v>0.6637931</v>
      </c>
      <c r="F84" s="9" t="n">
        <v>1.23</v>
      </c>
      <c r="G84" s="10" t="n">
        <v>0.84</v>
      </c>
      <c r="H84" s="10" t="n">
        <v>0.7</v>
      </c>
      <c r="I84" s="11">
        <f>INDEX('01_Benchmark_Input'!$B$2:$B$10,MATCH(B84,'01_Benchmark_Input'!$A$2:$A$10,0))</f>
        <v/>
      </c>
      <c r="J84" s="11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9" t="n">
        <v>3.45</v>
      </c>
      <c r="E85" s="10" t="n">
        <v>0.7426087</v>
      </c>
      <c r="F85" s="9" t="n">
        <v>1.23</v>
      </c>
      <c r="G85" s="10" t="n">
        <v>0.84</v>
      </c>
      <c r="H85" s="10" t="n">
        <v>0.75</v>
      </c>
      <c r="I85" s="11">
        <f>INDEX('01_Benchmark_Input'!$B$2:$B$10,MATCH(B85,'01_Benchmark_Input'!$A$2:$A$10,0))</f>
        <v/>
      </c>
      <c r="J85" s="11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9" t="n">
        <v>4</v>
      </c>
      <c r="E86" s="10" t="n">
        <v>0.8</v>
      </c>
      <c r="F86" s="9" t="n">
        <v>1.23</v>
      </c>
      <c r="G86" s="10" t="n">
        <v>0.84</v>
      </c>
      <c r="H86" s="10" t="n">
        <v>0.8</v>
      </c>
      <c r="I86" s="11">
        <f>INDEX('01_Benchmark_Input'!$B$2:$B$10,MATCH(B86,'01_Benchmark_Input'!$A$2:$A$10,0))</f>
        <v/>
      </c>
      <c r="J86" s="11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9" t="n">
        <v>1.2</v>
      </c>
      <c r="E87" s="10" t="n">
        <v>0.375</v>
      </c>
      <c r="F87" s="9" t="n">
        <v>1.23</v>
      </c>
      <c r="G87" s="10" t="n">
        <v>0.84</v>
      </c>
      <c r="H87" s="10" t="n">
        <v>0.6</v>
      </c>
      <c r="I87" s="11">
        <f>INDEX('01_Benchmark_Input'!$B$2:$B$10,MATCH(B87,'01_Benchmark_Input'!$A$2:$A$10,0))</f>
        <v/>
      </c>
      <c r="J87" s="11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9" t="n">
        <v>1.65</v>
      </c>
      <c r="E88" s="10" t="n">
        <v>0.56848485</v>
      </c>
      <c r="F88" s="9" t="n">
        <v>1.23</v>
      </c>
      <c r="G88" s="10" t="n">
        <v>0.84</v>
      </c>
      <c r="H88" s="10" t="n">
        <v>0.65</v>
      </c>
      <c r="I88" s="11">
        <f>INDEX('01_Benchmark_Input'!$B$2:$B$10,MATCH(B88,'01_Benchmark_Input'!$A$2:$A$10,0))</f>
        <v/>
      </c>
      <c r="J88" s="11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9" t="n">
        <v>2.1</v>
      </c>
      <c r="E89" s="10" t="n">
        <v>0.67857143</v>
      </c>
      <c r="F89" s="9" t="n">
        <v>1.23</v>
      </c>
      <c r="G89" s="10" t="n">
        <v>0.84</v>
      </c>
      <c r="H89" s="10" t="n">
        <v>0.7</v>
      </c>
      <c r="I89" s="11">
        <f>INDEX('01_Benchmark_Input'!$B$2:$B$10,MATCH(B89,'01_Benchmark_Input'!$A$2:$A$10,0))</f>
        <v/>
      </c>
      <c r="J89" s="11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9" t="n">
        <v>2.55</v>
      </c>
      <c r="E90" s="10" t="n">
        <v>0.74980392</v>
      </c>
      <c r="F90" s="9" t="n">
        <v>1.23</v>
      </c>
      <c r="G90" s="10" t="n">
        <v>0.84</v>
      </c>
      <c r="H90" s="10" t="n">
        <v>0.75</v>
      </c>
      <c r="I90" s="11">
        <f>INDEX('01_Benchmark_Input'!$B$2:$B$10,MATCH(B90,'01_Benchmark_Input'!$A$2:$A$10,0))</f>
        <v/>
      </c>
      <c r="J90" s="11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9" t="n">
        <v>3</v>
      </c>
      <c r="E91" s="10" t="n">
        <v>0.8</v>
      </c>
      <c r="F91" s="9" t="n">
        <v>1.23</v>
      </c>
      <c r="G91" s="10" t="n">
        <v>0.84</v>
      </c>
      <c r="H91" s="10" t="n">
        <v>0.8</v>
      </c>
      <c r="I91" s="11">
        <f>INDEX('01_Benchmark_Input'!$B$2:$B$10,MATCH(B91,'01_Benchmark_Input'!$A$2:$A$10,0))</f>
        <v/>
      </c>
      <c r="J91" s="11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9" t="n">
        <v>4</v>
      </c>
      <c r="E92" s="10" t="n">
        <v>0.4725</v>
      </c>
      <c r="F92" s="9" t="n">
        <v>1.2</v>
      </c>
      <c r="G92" s="10" t="n">
        <v>0.86</v>
      </c>
      <c r="H92" s="10" t="n">
        <v>0.6</v>
      </c>
      <c r="I92" s="11">
        <f>INDEX('01_Benchmark_Input'!$B$2:$B$10,MATCH(B92,'01_Benchmark_Input'!$A$2:$A$10,0))</f>
        <v/>
      </c>
      <c r="J92" s="11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9" t="n">
        <v>5.25</v>
      </c>
      <c r="E93" s="10" t="n">
        <v>0.59790476</v>
      </c>
      <c r="F93" s="9" t="n">
        <v>1.2</v>
      </c>
      <c r="G93" s="10" t="n">
        <v>0.86</v>
      </c>
      <c r="H93" s="10" t="n">
        <v>0.658</v>
      </c>
      <c r="I93" s="11">
        <f>INDEX('01_Benchmark_Input'!$B$2:$B$10,MATCH(B93,'01_Benchmark_Input'!$A$2:$A$10,0))</f>
        <v/>
      </c>
      <c r="J93" s="11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9" t="n">
        <v>6.5</v>
      </c>
      <c r="E94" s="10" t="n">
        <v>0.68615385</v>
      </c>
      <c r="F94" s="9" t="n">
        <v>1.2</v>
      </c>
      <c r="G94" s="10" t="n">
        <v>0.86</v>
      </c>
      <c r="H94" s="10" t="n">
        <v>0.715</v>
      </c>
      <c r="I94" s="11">
        <f>INDEX('01_Benchmark_Input'!$B$2:$B$10,MATCH(B94,'01_Benchmark_Input'!$A$2:$A$10,0))</f>
        <v/>
      </c>
      <c r="J94" s="11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9" t="n">
        <v>7.75</v>
      </c>
      <c r="E95" s="10" t="n">
        <v>0.75509677</v>
      </c>
      <c r="F95" s="9" t="n">
        <v>1.2</v>
      </c>
      <c r="G95" s="10" t="n">
        <v>0.86</v>
      </c>
      <c r="H95" s="10" t="n">
        <v>0.772</v>
      </c>
      <c r="I95" s="11">
        <f>INDEX('01_Benchmark_Input'!$B$2:$B$10,MATCH(B95,'01_Benchmark_Input'!$A$2:$A$10,0))</f>
        <v/>
      </c>
      <c r="J95" s="11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9" t="n">
        <v>9</v>
      </c>
      <c r="E96" s="10" t="n">
        <v>0.81288889</v>
      </c>
      <c r="F96" s="9" t="n">
        <v>1.2</v>
      </c>
      <c r="G96" s="10" t="n">
        <v>0.86</v>
      </c>
      <c r="H96" s="10" t="n">
        <v>0.83</v>
      </c>
      <c r="I96" s="11">
        <f>INDEX('01_Benchmark_Input'!$B$2:$B$10,MATCH(B96,'01_Benchmark_Input'!$A$2:$A$10,0))</f>
        <v/>
      </c>
      <c r="J96" s="11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9" t="n">
        <v>4.5</v>
      </c>
      <c r="E97" s="10" t="n">
        <v>0.51333333</v>
      </c>
      <c r="F97" s="9" t="n">
        <v>1.18</v>
      </c>
      <c r="G97" s="10" t="n">
        <v>0.88</v>
      </c>
      <c r="H97" s="10" t="n">
        <v>0.6</v>
      </c>
      <c r="I97" s="11">
        <f>INDEX('01_Benchmark_Input'!$B$2:$B$10,MATCH(B97,'01_Benchmark_Input'!$A$2:$A$10,0))</f>
        <v/>
      </c>
      <c r="J97" s="11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9" t="n">
        <v>5.375</v>
      </c>
      <c r="E98" s="10" t="n">
        <v>0.67460465</v>
      </c>
      <c r="F98" s="9" t="n">
        <v>1.18</v>
      </c>
      <c r="G98" s="10" t="n">
        <v>0.88</v>
      </c>
      <c r="H98" s="10" t="n">
        <v>0.65</v>
      </c>
      <c r="I98" s="11">
        <f>INDEX('01_Benchmark_Input'!$B$2:$B$10,MATCH(B98,'01_Benchmark_Input'!$A$2:$A$10,0))</f>
        <v/>
      </c>
      <c r="J98" s="11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9" t="n">
        <v>6.25</v>
      </c>
      <c r="E99" s="10" t="n">
        <v>0.80288</v>
      </c>
      <c r="F99" s="9" t="n">
        <v>1.18</v>
      </c>
      <c r="G99" s="10" t="n">
        <v>0.88</v>
      </c>
      <c r="H99" s="10" t="n">
        <v>0.7</v>
      </c>
      <c r="I99" s="11">
        <f>INDEX('01_Benchmark_Input'!$B$2:$B$10,MATCH(B99,'01_Benchmark_Input'!$A$2:$A$10,0))</f>
        <v/>
      </c>
      <c r="J99" s="11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9" t="n">
        <v>7.125</v>
      </c>
      <c r="E100" s="10" t="n">
        <v>0.90989474</v>
      </c>
      <c r="F100" s="9" t="n">
        <v>1.18</v>
      </c>
      <c r="G100" s="10" t="n">
        <v>0.88</v>
      </c>
      <c r="H100" s="10" t="n">
        <v>0.75</v>
      </c>
      <c r="I100" s="11">
        <f>INDEX('01_Benchmark_Input'!$B$2:$B$10,MATCH(B100,'01_Benchmark_Input'!$A$2:$A$10,0))</f>
        <v/>
      </c>
      <c r="J100" s="11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9" t="n">
        <v>8</v>
      </c>
      <c r="E101" s="10" t="n">
        <v>1</v>
      </c>
      <c r="F101" s="9" t="n">
        <v>1.18</v>
      </c>
      <c r="G101" s="10" t="n">
        <v>0.88</v>
      </c>
      <c r="H101" s="10" t="n">
        <v>0.8</v>
      </c>
      <c r="I101" s="11">
        <f>INDEX('01_Benchmark_Input'!$B$2:$B$10,MATCH(B101,'01_Benchmark_Input'!$A$2:$A$10,0))</f>
        <v/>
      </c>
      <c r="J101" s="11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9" t="n">
        <v>3.5</v>
      </c>
      <c r="E102" s="10" t="n">
        <v>0.48</v>
      </c>
      <c r="F102" s="9" t="n">
        <v>1.2</v>
      </c>
      <c r="G102" s="10" t="n">
        <v>0.87</v>
      </c>
      <c r="H102" s="10" t="n">
        <v>0.63</v>
      </c>
      <c r="I102" s="11">
        <f>INDEX('01_Benchmark_Input'!$B$2:$B$10,MATCH(B102,'01_Benchmark_Input'!$A$2:$A$10,0))</f>
        <v/>
      </c>
      <c r="J102" s="11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9" t="n">
        <v>4.375</v>
      </c>
      <c r="E103" s="10" t="n">
        <v>0.65577143</v>
      </c>
      <c r="F103" s="9" t="n">
        <v>1.2</v>
      </c>
      <c r="G103" s="10" t="n">
        <v>0.87</v>
      </c>
      <c r="H103" s="10" t="n">
        <v>0.6879999999999999</v>
      </c>
      <c r="I103" s="11">
        <f>INDEX('01_Benchmark_Input'!$B$2:$B$10,MATCH(B103,'01_Benchmark_Input'!$A$2:$A$10,0))</f>
        <v/>
      </c>
      <c r="J103" s="11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9" t="n">
        <v>5.25</v>
      </c>
      <c r="E104" s="10" t="n">
        <v>0.78571429</v>
      </c>
      <c r="F104" s="9" t="n">
        <v>1.2</v>
      </c>
      <c r="G104" s="10" t="n">
        <v>0.87</v>
      </c>
      <c r="H104" s="10" t="n">
        <v>0.745</v>
      </c>
      <c r="I104" s="11">
        <f>INDEX('01_Benchmark_Input'!$B$2:$B$10,MATCH(B104,'01_Benchmark_Input'!$A$2:$A$10,0))</f>
        <v/>
      </c>
      <c r="J104" s="11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9" t="n">
        <v>6.125</v>
      </c>
      <c r="E105" s="10" t="n">
        <v>0.88995918</v>
      </c>
      <c r="F105" s="9" t="n">
        <v>1.2</v>
      </c>
      <c r="G105" s="10" t="n">
        <v>0.87</v>
      </c>
      <c r="H105" s="10" t="n">
        <v>0.802</v>
      </c>
      <c r="I105" s="11">
        <f>INDEX('01_Benchmark_Input'!$B$2:$B$10,MATCH(B105,'01_Benchmark_Input'!$A$2:$A$10,0))</f>
        <v/>
      </c>
      <c r="J105" s="11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9" t="n">
        <v>7</v>
      </c>
      <c r="E106" s="10" t="n">
        <v>0.97771429</v>
      </c>
      <c r="F106" s="9" t="n">
        <v>1.2</v>
      </c>
      <c r="G106" s="10" t="n">
        <v>0.87</v>
      </c>
      <c r="H106" s="10" t="n">
        <v>0.86</v>
      </c>
      <c r="I106" s="11">
        <f>INDEX('01_Benchmark_Input'!$B$2:$B$10,MATCH(B106,'01_Benchmark_Input'!$A$2:$A$10,0))</f>
        <v/>
      </c>
      <c r="J106" s="11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9" t="n">
        <v>1</v>
      </c>
      <c r="E107" s="10" t="n">
        <v>0.367</v>
      </c>
      <c r="F107" s="9" t="n">
        <v>1.22</v>
      </c>
      <c r="G107" s="10" t="n">
        <v>0.85</v>
      </c>
      <c r="H107" s="10" t="n">
        <v>0.5</v>
      </c>
      <c r="I107" s="11">
        <f>INDEX('01_Benchmark_Input'!$B$2:$B$10,MATCH(B107,'01_Benchmark_Input'!$A$2:$A$10,0))</f>
        <v/>
      </c>
      <c r="J107" s="11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9" t="n">
        <v>1.5</v>
      </c>
      <c r="E108" s="10" t="n">
        <v>0.64066667</v>
      </c>
      <c r="F108" s="9" t="n">
        <v>1.22</v>
      </c>
      <c r="G108" s="10" t="n">
        <v>0.85</v>
      </c>
      <c r="H108" s="10" t="n">
        <v>0.57</v>
      </c>
      <c r="I108" s="11">
        <f>INDEX('01_Benchmark_Input'!$B$2:$B$10,MATCH(B108,'01_Benchmark_Input'!$A$2:$A$10,0))</f>
        <v/>
      </c>
      <c r="J108" s="11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9" t="n">
        <v>2</v>
      </c>
      <c r="E109" s="10" t="n">
        <v>0.7945</v>
      </c>
      <c r="F109" s="9" t="n">
        <v>1.22</v>
      </c>
      <c r="G109" s="10" t="n">
        <v>0.85</v>
      </c>
      <c r="H109" s="10" t="n">
        <v>0.64</v>
      </c>
      <c r="I109" s="11">
        <f>INDEX('01_Benchmark_Input'!$B$2:$B$10,MATCH(B109,'01_Benchmark_Input'!$A$2:$A$10,0))</f>
        <v/>
      </c>
      <c r="J109" s="11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9" t="n">
        <v>2.5</v>
      </c>
      <c r="E110" s="10" t="n">
        <v>0.9008</v>
      </c>
      <c r="F110" s="9" t="n">
        <v>1.22</v>
      </c>
      <c r="G110" s="10" t="n">
        <v>0.85</v>
      </c>
      <c r="H110" s="10" t="n">
        <v>0.71</v>
      </c>
      <c r="I110" s="11">
        <f>INDEX('01_Benchmark_Input'!$B$2:$B$10,MATCH(B110,'01_Benchmark_Input'!$A$2:$A$10,0))</f>
        <v/>
      </c>
      <c r="J110" s="11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9" t="n">
        <v>3</v>
      </c>
      <c r="E111" s="10" t="n">
        <v>0.98333333</v>
      </c>
      <c r="F111" s="9" t="n">
        <v>1.22</v>
      </c>
      <c r="G111" s="10" t="n">
        <v>0.85</v>
      </c>
      <c r="H111" s="10" t="n">
        <v>0.78</v>
      </c>
      <c r="I111" s="11">
        <f>INDEX('01_Benchmark_Input'!$B$2:$B$10,MATCH(B111,'01_Benchmark_Input'!$A$2:$A$10,0))</f>
        <v/>
      </c>
      <c r="J111" s="11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9" t="n">
        <v>5</v>
      </c>
      <c r="E112" s="10" t="n">
        <v>0.294</v>
      </c>
      <c r="F112" s="9" t="n">
        <v>1.2</v>
      </c>
      <c r="G112" s="10" t="n">
        <v>0.88</v>
      </c>
      <c r="H112" s="10" t="n">
        <v>0.63</v>
      </c>
      <c r="I112" s="11">
        <f>INDEX('01_Benchmark_Input'!$B$2:$B$10,MATCH(B112,'01_Benchmark_Input'!$A$2:$A$10,0))</f>
        <v/>
      </c>
      <c r="J112" s="11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9" t="n">
        <v>6.75</v>
      </c>
      <c r="E113" s="10" t="n">
        <v>0.50918519</v>
      </c>
      <c r="F113" s="9" t="n">
        <v>1.2</v>
      </c>
      <c r="G113" s="10" t="n">
        <v>0.88</v>
      </c>
      <c r="H113" s="10" t="n">
        <v>0.6879999999999999</v>
      </c>
      <c r="I113" s="11">
        <f>INDEX('01_Benchmark_Input'!$B$2:$B$10,MATCH(B113,'01_Benchmark_Input'!$A$2:$A$10,0))</f>
        <v/>
      </c>
      <c r="J113" s="11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9" t="n">
        <v>8.5</v>
      </c>
      <c r="E114" s="10" t="n">
        <v>0.64929412</v>
      </c>
      <c r="F114" s="9" t="n">
        <v>1.2</v>
      </c>
      <c r="G114" s="10" t="n">
        <v>0.88</v>
      </c>
      <c r="H114" s="10" t="n">
        <v>0.745</v>
      </c>
      <c r="I114" s="11">
        <f>INDEX('01_Benchmark_Input'!$B$2:$B$10,MATCH(B114,'01_Benchmark_Input'!$A$2:$A$10,0))</f>
        <v/>
      </c>
      <c r="J114" s="11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9" t="n">
        <v>10.25</v>
      </c>
      <c r="E115" s="10" t="n">
        <v>0.75287805</v>
      </c>
      <c r="F115" s="9" t="n">
        <v>1.2</v>
      </c>
      <c r="G115" s="10" t="n">
        <v>0.88</v>
      </c>
      <c r="H115" s="10" t="n">
        <v>0.802</v>
      </c>
      <c r="I115" s="11">
        <f>INDEX('01_Benchmark_Input'!$B$2:$B$10,MATCH(B115,'01_Benchmark_Input'!$A$2:$A$10,0))</f>
        <v/>
      </c>
      <c r="J115" s="11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9" t="n">
        <v>12</v>
      </c>
      <c r="E116" s="10" t="n">
        <v>0.83583333</v>
      </c>
      <c r="F116" s="9" t="n">
        <v>1.2</v>
      </c>
      <c r="G116" s="10" t="n">
        <v>0.88</v>
      </c>
      <c r="H116" s="10" t="n">
        <v>0.86</v>
      </c>
      <c r="I116" s="11">
        <f>INDEX('01_Benchmark_Input'!$B$2:$B$10,MATCH(B116,'01_Benchmark_Input'!$A$2:$A$10,0))</f>
        <v/>
      </c>
      <c r="J116" s="11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9" t="n">
        <v>3.5</v>
      </c>
      <c r="E117" s="10" t="n">
        <v>0.3</v>
      </c>
      <c r="F117" s="9" t="n">
        <v>1.18</v>
      </c>
      <c r="G117" s="10" t="n">
        <v>0.86</v>
      </c>
      <c r="H117" s="10" t="n">
        <v>0.57</v>
      </c>
      <c r="I117" s="11">
        <f>INDEX('01_Benchmark_Input'!$B$2:$B$10,MATCH(B117,'01_Benchmark_Input'!$A$2:$A$10,0))</f>
        <v/>
      </c>
      <c r="J117" s="11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9" t="n">
        <v>4.375</v>
      </c>
      <c r="E118" s="10" t="n">
        <v>0.52571429</v>
      </c>
      <c r="F118" s="9" t="n">
        <v>1.18</v>
      </c>
      <c r="G118" s="10" t="n">
        <v>0.86</v>
      </c>
      <c r="H118" s="10" t="n">
        <v>0.632</v>
      </c>
      <c r="I118" s="11">
        <f>INDEX('01_Benchmark_Input'!$B$2:$B$10,MATCH(B118,'01_Benchmark_Input'!$A$2:$A$10,0))</f>
        <v/>
      </c>
      <c r="J118" s="11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9" t="n">
        <v>5.25</v>
      </c>
      <c r="E119" s="10" t="n">
        <v>0.6902857100000001</v>
      </c>
      <c r="F119" s="9" t="n">
        <v>1.18</v>
      </c>
      <c r="G119" s="10" t="n">
        <v>0.86</v>
      </c>
      <c r="H119" s="10" t="n">
        <v>0.695</v>
      </c>
      <c r="I119" s="11">
        <f>INDEX('01_Benchmark_Input'!$B$2:$B$10,MATCH(B119,'01_Benchmark_Input'!$A$2:$A$10,0))</f>
        <v/>
      </c>
      <c r="J119" s="11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9" t="n">
        <v>6.125</v>
      </c>
      <c r="E120" s="10" t="n">
        <v>0.81959184</v>
      </c>
      <c r="F120" s="9" t="n">
        <v>1.18</v>
      </c>
      <c r="G120" s="10" t="n">
        <v>0.86</v>
      </c>
      <c r="H120" s="10" t="n">
        <v>0.758</v>
      </c>
      <c r="I120" s="11">
        <f>INDEX('01_Benchmark_Input'!$B$2:$B$10,MATCH(B120,'01_Benchmark_Input'!$A$2:$A$10,0))</f>
        <v/>
      </c>
      <c r="J120" s="11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9" t="n">
        <v>7</v>
      </c>
      <c r="E121" s="10" t="n">
        <v>0.92714286</v>
      </c>
      <c r="F121" s="9" t="n">
        <v>1.18</v>
      </c>
      <c r="G121" s="10" t="n">
        <v>0.86</v>
      </c>
      <c r="H121" s="10" t="n">
        <v>0.82</v>
      </c>
      <c r="I121" s="11">
        <f>INDEX('01_Benchmark_Input'!$B$2:$B$10,MATCH(B121,'01_Benchmark_Input'!$A$2:$A$10,0))</f>
        <v/>
      </c>
      <c r="J121" s="11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9" t="n">
        <v>0.5</v>
      </c>
      <c r="E122" s="10" t="n">
        <v>0.316</v>
      </c>
      <c r="F122" s="9" t="n">
        <v>1.24</v>
      </c>
      <c r="G122" s="10" t="n">
        <v>0.82</v>
      </c>
      <c r="H122" s="10" t="n">
        <v>0.67</v>
      </c>
      <c r="I122" s="11">
        <f>INDEX('01_Benchmark_Input'!$B$2:$B$10,MATCH(B122,'01_Benchmark_Input'!$A$2:$A$10,0))</f>
        <v/>
      </c>
      <c r="J122" s="11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9" t="n">
        <v>0.825</v>
      </c>
      <c r="E123" s="10" t="n">
        <v>0.54181818</v>
      </c>
      <c r="F123" s="9" t="n">
        <v>1.24</v>
      </c>
      <c r="G123" s="10" t="n">
        <v>0.82</v>
      </c>
      <c r="H123" s="10" t="n">
        <v>0.727</v>
      </c>
      <c r="I123" s="11">
        <f>INDEX('01_Benchmark_Input'!$B$2:$B$10,MATCH(B123,'01_Benchmark_Input'!$A$2:$A$10,0))</f>
        <v/>
      </c>
      <c r="J123" s="11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9" t="n">
        <v>1.15</v>
      </c>
      <c r="E124" s="10" t="n">
        <v>0.65478261</v>
      </c>
      <c r="F124" s="9" t="n">
        <v>1.24</v>
      </c>
      <c r="G124" s="10" t="n">
        <v>0.82</v>
      </c>
      <c r="H124" s="10" t="n">
        <v>0.785</v>
      </c>
      <c r="I124" s="11">
        <f>INDEX('01_Benchmark_Input'!$B$2:$B$10,MATCH(B124,'01_Benchmark_Input'!$A$2:$A$10,0))</f>
        <v/>
      </c>
      <c r="J124" s="11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9" t="n">
        <v>1.475</v>
      </c>
      <c r="E125" s="10" t="n">
        <v>0.72949153</v>
      </c>
      <c r="F125" s="9" t="n">
        <v>1.24</v>
      </c>
      <c r="G125" s="10" t="n">
        <v>0.82</v>
      </c>
      <c r="H125" s="10" t="n">
        <v>0.843</v>
      </c>
      <c r="I125" s="11">
        <f>INDEX('01_Benchmark_Input'!$B$2:$B$10,MATCH(B125,'01_Benchmark_Input'!$A$2:$A$10,0))</f>
        <v/>
      </c>
      <c r="J125" s="11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9" t="n">
        <v>1.8</v>
      </c>
      <c r="E126" s="10" t="n">
        <v>0.78666667</v>
      </c>
      <c r="F126" s="9" t="n">
        <v>1.24</v>
      </c>
      <c r="G126" s="10" t="n">
        <v>0.82</v>
      </c>
      <c r="H126" s="10" t="n">
        <v>0.9</v>
      </c>
      <c r="I126" s="11">
        <f>INDEX('01_Benchmark_Input'!$B$2:$B$10,MATCH(B126,'01_Benchmark_Input'!$A$2:$A$10,0))</f>
        <v/>
      </c>
      <c r="J126" s="11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9" t="n">
        <v>1.8</v>
      </c>
      <c r="E127" s="10" t="n">
        <v>0.37944444</v>
      </c>
      <c r="F127" s="9" t="n">
        <v>1.23</v>
      </c>
      <c r="G127" s="10" t="n">
        <v>0.84</v>
      </c>
      <c r="H127" s="10" t="n">
        <v>0.65</v>
      </c>
      <c r="I127" s="11">
        <f>INDEX('01_Benchmark_Input'!$B$2:$B$10,MATCH(B127,'01_Benchmark_Input'!$A$2:$A$10,0))</f>
        <v/>
      </c>
      <c r="J127" s="11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9" t="n">
        <v>2.35</v>
      </c>
      <c r="E128" s="10" t="n">
        <v>0.59319149</v>
      </c>
      <c r="F128" s="9" t="n">
        <v>1.23</v>
      </c>
      <c r="G128" s="10" t="n">
        <v>0.84</v>
      </c>
      <c r="H128" s="10" t="n">
        <v>0.708</v>
      </c>
      <c r="I128" s="11">
        <f>INDEX('01_Benchmark_Input'!$B$2:$B$10,MATCH(B128,'01_Benchmark_Input'!$A$2:$A$10,0))</f>
        <v/>
      </c>
      <c r="J128" s="11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9" t="n">
        <v>2.9</v>
      </c>
      <c r="E129" s="10" t="n">
        <v>0.74</v>
      </c>
      <c r="F129" s="9" t="n">
        <v>1.23</v>
      </c>
      <c r="G129" s="10" t="n">
        <v>0.84</v>
      </c>
      <c r="H129" s="10" t="n">
        <v>0.765</v>
      </c>
      <c r="I129" s="11">
        <f>INDEX('01_Benchmark_Input'!$B$2:$B$10,MATCH(B129,'01_Benchmark_Input'!$A$2:$A$10,0))</f>
        <v/>
      </c>
      <c r="J129" s="11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9" t="n">
        <v>3.45</v>
      </c>
      <c r="E130" s="10" t="n">
        <v>0.85217391</v>
      </c>
      <c r="F130" s="9" t="n">
        <v>1.23</v>
      </c>
      <c r="G130" s="10" t="n">
        <v>0.84</v>
      </c>
      <c r="H130" s="10" t="n">
        <v>0.823</v>
      </c>
      <c r="I130" s="11">
        <f>INDEX('01_Benchmark_Input'!$B$2:$B$10,MATCH(B130,'01_Benchmark_Input'!$A$2:$A$10,0))</f>
        <v/>
      </c>
      <c r="J130" s="11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9" t="n">
        <v>4</v>
      </c>
      <c r="E131" s="10" t="n">
        <v>0.944</v>
      </c>
      <c r="F131" s="9" t="n">
        <v>1.23</v>
      </c>
      <c r="G131" s="10" t="n">
        <v>0.84</v>
      </c>
      <c r="H131" s="10" t="n">
        <v>0.88</v>
      </c>
      <c r="I131" s="11">
        <f>INDEX('01_Benchmark_Input'!$B$2:$B$10,MATCH(B131,'01_Benchmark_Input'!$A$2:$A$10,0))</f>
        <v/>
      </c>
      <c r="J131" s="11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9" t="n">
        <v>1.2</v>
      </c>
      <c r="E132" s="10" t="n">
        <v>0.39416667</v>
      </c>
      <c r="F132" s="9" t="n">
        <v>1.23</v>
      </c>
      <c r="G132" s="10" t="n">
        <v>0.84</v>
      </c>
      <c r="H132" s="10" t="n">
        <v>0.65</v>
      </c>
      <c r="I132" s="11">
        <f>INDEX('01_Benchmark_Input'!$B$2:$B$10,MATCH(B132,'01_Benchmark_Input'!$A$2:$A$10,0))</f>
        <v/>
      </c>
      <c r="J132" s="11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9" t="n">
        <v>1.65</v>
      </c>
      <c r="E133" s="10" t="n">
        <v>0.61515152</v>
      </c>
      <c r="F133" s="9" t="n">
        <v>1.23</v>
      </c>
      <c r="G133" s="10" t="n">
        <v>0.84</v>
      </c>
      <c r="H133" s="10" t="n">
        <v>0.708</v>
      </c>
      <c r="I133" s="11">
        <f>INDEX('01_Benchmark_Input'!$B$2:$B$10,MATCH(B133,'01_Benchmark_Input'!$A$2:$A$10,0))</f>
        <v/>
      </c>
      <c r="J133" s="11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9" t="n">
        <v>2.1</v>
      </c>
      <c r="E134" s="10" t="n">
        <v>0.75666667</v>
      </c>
      <c r="F134" s="9" t="n">
        <v>1.23</v>
      </c>
      <c r="G134" s="10" t="n">
        <v>0.84</v>
      </c>
      <c r="H134" s="10" t="n">
        <v>0.765</v>
      </c>
      <c r="I134" s="11">
        <f>INDEX('01_Benchmark_Input'!$B$2:$B$10,MATCH(B134,'01_Benchmark_Input'!$A$2:$A$10,0))</f>
        <v/>
      </c>
      <c r="J134" s="11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9" t="n">
        <v>2.55</v>
      </c>
      <c r="E135" s="10" t="n">
        <v>0.86078431</v>
      </c>
      <c r="F135" s="9" t="n">
        <v>1.23</v>
      </c>
      <c r="G135" s="10" t="n">
        <v>0.84</v>
      </c>
      <c r="H135" s="10" t="n">
        <v>0.823</v>
      </c>
      <c r="I135" s="11">
        <f>INDEX('01_Benchmark_Input'!$B$2:$B$10,MATCH(B135,'01_Benchmark_Input'!$A$2:$A$10,0))</f>
        <v/>
      </c>
      <c r="J135" s="11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9" t="n">
        <v>3</v>
      </c>
      <c r="E136" s="10" t="n">
        <v>0.944</v>
      </c>
      <c r="F136" s="9" t="n">
        <v>1.23</v>
      </c>
      <c r="G136" s="10" t="n">
        <v>0.84</v>
      </c>
      <c r="H136" s="10" t="n">
        <v>0.88</v>
      </c>
      <c r="I136" s="11">
        <f>INDEX('01_Benchmark_Input'!$B$2:$B$10,MATCH(B136,'01_Benchmark_Input'!$A$2:$A$10,0))</f>
        <v/>
      </c>
      <c r="J136" s="11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9" t="n">
        <v>4</v>
      </c>
      <c r="E137" s="10" t="n">
        <v>0.396</v>
      </c>
      <c r="F137" s="9" t="n">
        <v>1.2</v>
      </c>
      <c r="G137" s="10" t="n">
        <v>0.86</v>
      </c>
      <c r="H137" s="10" t="n">
        <v>0.57</v>
      </c>
      <c r="I137" s="11">
        <f>INDEX('01_Benchmark_Input'!$B$2:$B$10,MATCH(B137,'01_Benchmark_Input'!$A$2:$A$10,0))</f>
        <v/>
      </c>
      <c r="J137" s="11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9" t="n">
        <v>5.25</v>
      </c>
      <c r="E138" s="10" t="n">
        <v>0.464</v>
      </c>
      <c r="F138" s="9" t="n">
        <v>1.2</v>
      </c>
      <c r="G138" s="10" t="n">
        <v>0.86</v>
      </c>
      <c r="H138" s="10" t="n">
        <v>0.625</v>
      </c>
      <c r="I138" s="11">
        <f>INDEX('01_Benchmark_Input'!$B$2:$B$10,MATCH(B138,'01_Benchmark_Input'!$A$2:$A$10,0))</f>
        <v/>
      </c>
      <c r="J138" s="11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9" t="n">
        <v>6.5</v>
      </c>
      <c r="E139" s="10" t="n">
        <v>0.49230769</v>
      </c>
      <c r="F139" s="9" t="n">
        <v>1.2</v>
      </c>
      <c r="G139" s="10" t="n">
        <v>0.86</v>
      </c>
      <c r="H139" s="10" t="n">
        <v>0.68</v>
      </c>
      <c r="I139" s="11">
        <f>INDEX('01_Benchmark_Input'!$B$2:$B$10,MATCH(B139,'01_Benchmark_Input'!$A$2:$A$10,0))</f>
        <v/>
      </c>
      <c r="J139" s="11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9" t="n">
        <v>7.75</v>
      </c>
      <c r="E140" s="10" t="n">
        <v>0.50012903</v>
      </c>
      <c r="F140" s="9" t="n">
        <v>1.2</v>
      </c>
      <c r="G140" s="10" t="n">
        <v>0.86</v>
      </c>
      <c r="H140" s="10" t="n">
        <v>0.735</v>
      </c>
      <c r="I140" s="11">
        <f>INDEX('01_Benchmark_Input'!$B$2:$B$10,MATCH(B140,'01_Benchmark_Input'!$A$2:$A$10,0))</f>
        <v/>
      </c>
      <c r="J140" s="11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9" t="n">
        <v>9</v>
      </c>
      <c r="E141" s="10" t="n">
        <v>0.496</v>
      </c>
      <c r="F141" s="9" t="n">
        <v>1.2</v>
      </c>
      <c r="G141" s="10" t="n">
        <v>0.86</v>
      </c>
      <c r="H141" s="10" t="n">
        <v>0.79</v>
      </c>
      <c r="I141" s="11">
        <f>INDEX('01_Benchmark_Input'!$B$2:$B$10,MATCH(B141,'01_Benchmark_Input'!$A$2:$A$10,0))</f>
        <v/>
      </c>
      <c r="J141" s="11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9" t="n">
        <v>4.5</v>
      </c>
      <c r="E142" s="10" t="n">
        <v>0.43022222</v>
      </c>
      <c r="F142" s="9" t="n">
        <v>1.18</v>
      </c>
      <c r="G142" s="10" t="n">
        <v>0.88</v>
      </c>
      <c r="H142" s="10" t="n">
        <v>0.57</v>
      </c>
      <c r="I142" s="11">
        <f>INDEX('01_Benchmark_Input'!$B$2:$B$10,MATCH(B142,'01_Benchmark_Input'!$A$2:$A$10,0))</f>
        <v/>
      </c>
      <c r="J142" s="11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9" t="n">
        <v>5.375</v>
      </c>
      <c r="E143" s="10" t="n">
        <v>0.52353488</v>
      </c>
      <c r="F143" s="9" t="n">
        <v>1.18</v>
      </c>
      <c r="G143" s="10" t="n">
        <v>0.88</v>
      </c>
      <c r="H143" s="10" t="n">
        <v>0.618</v>
      </c>
      <c r="I143" s="11">
        <f>INDEX('01_Benchmark_Input'!$B$2:$B$10,MATCH(B143,'01_Benchmark_Input'!$A$2:$A$10,0))</f>
        <v/>
      </c>
      <c r="J143" s="11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9" t="n">
        <v>6.25</v>
      </c>
      <c r="E144" s="10" t="n">
        <v>0.576</v>
      </c>
      <c r="F144" s="9" t="n">
        <v>1.18</v>
      </c>
      <c r="G144" s="10" t="n">
        <v>0.88</v>
      </c>
      <c r="H144" s="10" t="n">
        <v>0.665</v>
      </c>
      <c r="I144" s="11">
        <f>INDEX('01_Benchmark_Input'!$B$2:$B$10,MATCH(B144,'01_Benchmark_Input'!$A$2:$A$10,0))</f>
        <v/>
      </c>
      <c r="J144" s="11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9" t="n">
        <v>7.125</v>
      </c>
      <c r="E145" s="10" t="n">
        <v>0.60266667</v>
      </c>
      <c r="F145" s="9" t="n">
        <v>1.18</v>
      </c>
      <c r="G145" s="10" t="n">
        <v>0.88</v>
      </c>
      <c r="H145" s="10" t="n">
        <v>0.713</v>
      </c>
      <c r="I145" s="11">
        <f>INDEX('01_Benchmark_Input'!$B$2:$B$10,MATCH(B145,'01_Benchmark_Input'!$A$2:$A$10,0))</f>
        <v/>
      </c>
      <c r="J145" s="11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9" t="n">
        <v>8</v>
      </c>
      <c r="E146" s="10" t="n">
        <v>0.612</v>
      </c>
      <c r="F146" s="9" t="n">
        <v>1.18</v>
      </c>
      <c r="G146" s="10" t="n">
        <v>0.88</v>
      </c>
      <c r="H146" s="10" t="n">
        <v>0.76</v>
      </c>
      <c r="I146" s="11">
        <f>INDEX('01_Benchmark_Input'!$B$2:$B$10,MATCH(B146,'01_Benchmark_Input'!$A$2:$A$10,0))</f>
        <v/>
      </c>
      <c r="J146" s="11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9" t="n">
        <v>3.5</v>
      </c>
      <c r="E147" s="10" t="n">
        <v>0.40228571</v>
      </c>
      <c r="F147" s="9" t="n">
        <v>1.2</v>
      </c>
      <c r="G147" s="10" t="n">
        <v>0.87</v>
      </c>
      <c r="H147" s="10" t="n">
        <v>0.6</v>
      </c>
      <c r="I147" s="11">
        <f>INDEX('01_Benchmark_Input'!$B$2:$B$10,MATCH(B147,'01_Benchmark_Input'!$A$2:$A$10,0))</f>
        <v/>
      </c>
      <c r="J147" s="11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9" t="n">
        <v>4.375</v>
      </c>
      <c r="E148" s="10" t="n">
        <v>0.5088</v>
      </c>
      <c r="F148" s="9" t="n">
        <v>1.2</v>
      </c>
      <c r="G148" s="10" t="n">
        <v>0.87</v>
      </c>
      <c r="H148" s="10" t="n">
        <v>0.655</v>
      </c>
      <c r="I148" s="11">
        <f>INDEX('01_Benchmark_Input'!$B$2:$B$10,MATCH(B148,'01_Benchmark_Input'!$A$2:$A$10,0))</f>
        <v/>
      </c>
      <c r="J148" s="11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9" t="n">
        <v>5.25</v>
      </c>
      <c r="E149" s="10" t="n">
        <v>0.56380952</v>
      </c>
      <c r="F149" s="9" t="n">
        <v>1.2</v>
      </c>
      <c r="G149" s="10" t="n">
        <v>0.87</v>
      </c>
      <c r="H149" s="10" t="n">
        <v>0.71</v>
      </c>
      <c r="I149" s="11">
        <f>INDEX('01_Benchmark_Input'!$B$2:$B$10,MATCH(B149,'01_Benchmark_Input'!$A$2:$A$10,0))</f>
        <v/>
      </c>
      <c r="J149" s="11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9" t="n">
        <v>6.125</v>
      </c>
      <c r="E150" s="10" t="n">
        <v>0.58938776</v>
      </c>
      <c r="F150" s="9" t="n">
        <v>1.2</v>
      </c>
      <c r="G150" s="10" t="n">
        <v>0.87</v>
      </c>
      <c r="H150" s="10" t="n">
        <v>0.765</v>
      </c>
      <c r="I150" s="11">
        <f>INDEX('01_Benchmark_Input'!$B$2:$B$10,MATCH(B150,'01_Benchmark_Input'!$A$2:$A$10,0))</f>
        <v/>
      </c>
      <c r="J150" s="11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9" t="n">
        <v>7</v>
      </c>
      <c r="E151" s="10" t="n">
        <v>0.59657143</v>
      </c>
      <c r="F151" s="9" t="n">
        <v>1.2</v>
      </c>
      <c r="G151" s="10" t="n">
        <v>0.87</v>
      </c>
      <c r="H151" s="10" t="n">
        <v>0.82</v>
      </c>
      <c r="I151" s="11">
        <f>INDEX('01_Benchmark_Input'!$B$2:$B$10,MATCH(B151,'01_Benchmark_Input'!$A$2:$A$10,0))</f>
        <v/>
      </c>
      <c r="J151" s="11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9" t="n">
        <v>1</v>
      </c>
      <c r="E152" s="10" t="n">
        <v>0.308</v>
      </c>
      <c r="F152" s="9" t="n">
        <v>1.22</v>
      </c>
      <c r="G152" s="10" t="n">
        <v>0.85</v>
      </c>
      <c r="H152" s="10" t="n">
        <v>0.47</v>
      </c>
      <c r="I152" s="11">
        <f>INDEX('01_Benchmark_Input'!$B$2:$B$10,MATCH(B152,'01_Benchmark_Input'!$A$2:$A$10,0))</f>
        <v/>
      </c>
      <c r="J152" s="11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9" t="n">
        <v>1.5</v>
      </c>
      <c r="E153" s="10" t="n">
        <v>0.49666667</v>
      </c>
      <c r="F153" s="9" t="n">
        <v>1.22</v>
      </c>
      <c r="G153" s="10" t="n">
        <v>0.85</v>
      </c>
      <c r="H153" s="10" t="n">
        <v>0.537</v>
      </c>
      <c r="I153" s="11">
        <f>INDEX('01_Benchmark_Input'!$B$2:$B$10,MATCH(B153,'01_Benchmark_Input'!$A$2:$A$10,0))</f>
        <v/>
      </c>
      <c r="J153" s="11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9" t="n">
        <v>2</v>
      </c>
      <c r="E154" s="10" t="n">
        <v>0.57</v>
      </c>
      <c r="F154" s="9" t="n">
        <v>1.22</v>
      </c>
      <c r="G154" s="10" t="n">
        <v>0.85</v>
      </c>
      <c r="H154" s="10" t="n">
        <v>0.605</v>
      </c>
      <c r="I154" s="11">
        <f>INDEX('01_Benchmark_Input'!$B$2:$B$10,MATCH(B154,'01_Benchmark_Input'!$A$2:$A$10,0))</f>
        <v/>
      </c>
      <c r="J154" s="11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9" t="n">
        <v>2.5</v>
      </c>
      <c r="E155" s="10" t="n">
        <v>0.5968</v>
      </c>
      <c r="F155" s="9" t="n">
        <v>1.22</v>
      </c>
      <c r="G155" s="10" t="n">
        <v>0.85</v>
      </c>
      <c r="H155" s="10" t="n">
        <v>0.672</v>
      </c>
      <c r="I155" s="11">
        <f>INDEX('01_Benchmark_Input'!$B$2:$B$10,MATCH(B155,'01_Benchmark_Input'!$A$2:$A$10,0))</f>
        <v/>
      </c>
      <c r="J155" s="11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9" t="n">
        <v>3</v>
      </c>
      <c r="E156" s="10" t="n">
        <v>0.6</v>
      </c>
      <c r="F156" s="9" t="n">
        <v>1.22</v>
      </c>
      <c r="G156" s="10" t="n">
        <v>0.85</v>
      </c>
      <c r="H156" s="10" t="n">
        <v>0.74</v>
      </c>
      <c r="I156" s="11">
        <f>INDEX('01_Benchmark_Input'!$B$2:$B$10,MATCH(B156,'01_Benchmark_Input'!$A$2:$A$10,0))</f>
        <v/>
      </c>
      <c r="J156" s="11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9" t="n">
        <v>5</v>
      </c>
      <c r="E157" s="10" t="n">
        <v>0.2464</v>
      </c>
      <c r="F157" s="9" t="n">
        <v>1.2</v>
      </c>
      <c r="G157" s="10" t="n">
        <v>0.88</v>
      </c>
      <c r="H157" s="10" t="n">
        <v>0.6</v>
      </c>
      <c r="I157" s="11">
        <f>INDEX('01_Benchmark_Input'!$B$2:$B$10,MATCH(B157,'01_Benchmark_Input'!$A$2:$A$10,0))</f>
        <v/>
      </c>
      <c r="J157" s="11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9" t="n">
        <v>6.75</v>
      </c>
      <c r="E158" s="10" t="n">
        <v>0.39511111</v>
      </c>
      <c r="F158" s="9" t="n">
        <v>1.2</v>
      </c>
      <c r="G158" s="10" t="n">
        <v>0.88</v>
      </c>
      <c r="H158" s="10" t="n">
        <v>0.655</v>
      </c>
      <c r="I158" s="11">
        <f>INDEX('01_Benchmark_Input'!$B$2:$B$10,MATCH(B158,'01_Benchmark_Input'!$A$2:$A$10,0))</f>
        <v/>
      </c>
      <c r="J158" s="11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9" t="n">
        <v>8.5</v>
      </c>
      <c r="E159" s="10" t="n">
        <v>0.46588235</v>
      </c>
      <c r="F159" s="9" t="n">
        <v>1.2</v>
      </c>
      <c r="G159" s="10" t="n">
        <v>0.88</v>
      </c>
      <c r="H159" s="10" t="n">
        <v>0.71</v>
      </c>
      <c r="I159" s="11">
        <f>INDEX('01_Benchmark_Input'!$B$2:$B$10,MATCH(B159,'01_Benchmark_Input'!$A$2:$A$10,0))</f>
        <v/>
      </c>
      <c r="J159" s="11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9" t="n">
        <v>10.25</v>
      </c>
      <c r="E160" s="10" t="n">
        <v>0.49863415</v>
      </c>
      <c r="F160" s="9" t="n">
        <v>1.2</v>
      </c>
      <c r="G160" s="10" t="n">
        <v>0.88</v>
      </c>
      <c r="H160" s="10" t="n">
        <v>0.765</v>
      </c>
      <c r="I160" s="11">
        <f>INDEX('01_Benchmark_Input'!$B$2:$B$10,MATCH(B160,'01_Benchmark_Input'!$A$2:$A$10,0))</f>
        <v/>
      </c>
      <c r="J160" s="11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9" t="n">
        <v>12</v>
      </c>
      <c r="E161" s="10" t="n">
        <v>0.51</v>
      </c>
      <c r="F161" s="9" t="n">
        <v>1.2</v>
      </c>
      <c r="G161" s="10" t="n">
        <v>0.88</v>
      </c>
      <c r="H161" s="10" t="n">
        <v>0.82</v>
      </c>
      <c r="I161" s="11">
        <f>INDEX('01_Benchmark_Input'!$B$2:$B$10,MATCH(B161,'01_Benchmark_Input'!$A$2:$A$10,0))</f>
        <v/>
      </c>
      <c r="J161" s="11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9" t="n">
        <v>3.5</v>
      </c>
      <c r="E162" s="10" t="n">
        <v>0.25142857</v>
      </c>
      <c r="F162" s="9" t="n">
        <v>1.18</v>
      </c>
      <c r="G162" s="10" t="n">
        <v>0.86</v>
      </c>
      <c r="H162" s="10" t="n">
        <v>0.54</v>
      </c>
      <c r="I162" s="11">
        <f>INDEX('01_Benchmark_Input'!$B$2:$B$10,MATCH(B162,'01_Benchmark_Input'!$A$2:$A$10,0))</f>
        <v/>
      </c>
      <c r="J162" s="11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9" t="n">
        <v>4.375</v>
      </c>
      <c r="E163" s="10" t="n">
        <v>0.408</v>
      </c>
      <c r="F163" s="9" t="n">
        <v>1.18</v>
      </c>
      <c r="G163" s="10" t="n">
        <v>0.86</v>
      </c>
      <c r="H163" s="10" t="n">
        <v>0.6</v>
      </c>
      <c r="I163" s="11">
        <f>INDEX('01_Benchmark_Input'!$B$2:$B$10,MATCH(B163,'01_Benchmark_Input'!$A$2:$A$10,0))</f>
        <v/>
      </c>
      <c r="J163" s="11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9" t="n">
        <v>5.25</v>
      </c>
      <c r="E164" s="10" t="n">
        <v>0.4952381</v>
      </c>
      <c r="F164" s="9" t="n">
        <v>1.18</v>
      </c>
      <c r="G164" s="10" t="n">
        <v>0.86</v>
      </c>
      <c r="H164" s="10" t="n">
        <v>0.66</v>
      </c>
      <c r="I164" s="11">
        <f>INDEX('01_Benchmark_Input'!$B$2:$B$10,MATCH(B164,'01_Benchmark_Input'!$A$2:$A$10,0))</f>
        <v/>
      </c>
      <c r="J164" s="11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9" t="n">
        <v>6.125</v>
      </c>
      <c r="E165" s="10" t="n">
        <v>0.54285714</v>
      </c>
      <c r="F165" s="9" t="n">
        <v>1.18</v>
      </c>
      <c r="G165" s="10" t="n">
        <v>0.86</v>
      </c>
      <c r="H165" s="10" t="n">
        <v>0.72</v>
      </c>
      <c r="I165" s="11">
        <f>INDEX('01_Benchmark_Input'!$B$2:$B$10,MATCH(B165,'01_Benchmark_Input'!$A$2:$A$10,0))</f>
        <v/>
      </c>
      <c r="J165" s="11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9" t="n">
        <v>7</v>
      </c>
      <c r="E166" s="10" t="n">
        <v>0.56571429</v>
      </c>
      <c r="F166" s="9" t="n">
        <v>1.18</v>
      </c>
      <c r="G166" s="10" t="n">
        <v>0.86</v>
      </c>
      <c r="H166" s="10" t="n">
        <v>0.78</v>
      </c>
      <c r="I166" s="11">
        <f>INDEX('01_Benchmark_Input'!$B$2:$B$10,MATCH(B166,'01_Benchmark_Input'!$A$2:$A$10,0))</f>
        <v/>
      </c>
      <c r="J166" s="11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9" t="n">
        <v>0.5</v>
      </c>
      <c r="E167" s="10" t="n">
        <v>0.264</v>
      </c>
      <c r="F167" s="9" t="n">
        <v>1.24</v>
      </c>
      <c r="G167" s="10" t="n">
        <v>0.82</v>
      </c>
      <c r="H167" s="10" t="n">
        <v>0.64</v>
      </c>
      <c r="I167" s="11">
        <f>INDEX('01_Benchmark_Input'!$B$2:$B$10,MATCH(B167,'01_Benchmark_Input'!$A$2:$A$10,0))</f>
        <v/>
      </c>
      <c r="J167" s="11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9" t="n">
        <v>0.825</v>
      </c>
      <c r="E168" s="10" t="n">
        <v>0.41939394</v>
      </c>
      <c r="F168" s="9" t="n">
        <v>1.24</v>
      </c>
      <c r="G168" s="10" t="n">
        <v>0.82</v>
      </c>
      <c r="H168" s="10" t="n">
        <v>0.695</v>
      </c>
      <c r="I168" s="11">
        <f>INDEX('01_Benchmark_Input'!$B$2:$B$10,MATCH(B168,'01_Benchmark_Input'!$A$2:$A$10,0))</f>
        <v/>
      </c>
      <c r="J168" s="11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9" t="n">
        <v>1.15</v>
      </c>
      <c r="E169" s="10" t="n">
        <v>0.46956522</v>
      </c>
      <c r="F169" s="9" t="n">
        <v>1.24</v>
      </c>
      <c r="G169" s="10" t="n">
        <v>0.82</v>
      </c>
      <c r="H169" s="10" t="n">
        <v>0.75</v>
      </c>
      <c r="I169" s="11">
        <f>INDEX('01_Benchmark_Input'!$B$2:$B$10,MATCH(B169,'01_Benchmark_Input'!$A$2:$A$10,0))</f>
        <v/>
      </c>
      <c r="J169" s="11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9" t="n">
        <v>1.475</v>
      </c>
      <c r="E170" s="10" t="n">
        <v>0.48338983</v>
      </c>
      <c r="F170" s="9" t="n">
        <v>1.24</v>
      </c>
      <c r="G170" s="10" t="n">
        <v>0.82</v>
      </c>
      <c r="H170" s="10" t="n">
        <v>0.805</v>
      </c>
      <c r="I170" s="11">
        <f>INDEX('01_Benchmark_Input'!$B$2:$B$10,MATCH(B170,'01_Benchmark_Input'!$A$2:$A$10,0))</f>
        <v/>
      </c>
      <c r="J170" s="11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9" t="n">
        <v>1.8</v>
      </c>
      <c r="E171" s="10" t="n">
        <v>0.48</v>
      </c>
      <c r="F171" s="9" t="n">
        <v>1.24</v>
      </c>
      <c r="G171" s="10" t="n">
        <v>0.82</v>
      </c>
      <c r="H171" s="10" t="n">
        <v>0.86</v>
      </c>
      <c r="I171" s="11">
        <f>INDEX('01_Benchmark_Input'!$B$2:$B$10,MATCH(B171,'01_Benchmark_Input'!$A$2:$A$10,0))</f>
        <v/>
      </c>
      <c r="J171" s="11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9" t="n">
        <v>1.8</v>
      </c>
      <c r="E172" s="10" t="n">
        <v>0.31777778</v>
      </c>
      <c r="F172" s="9" t="n">
        <v>1.23</v>
      </c>
      <c r="G172" s="10" t="n">
        <v>0.84</v>
      </c>
      <c r="H172" s="10" t="n">
        <v>0.62</v>
      </c>
      <c r="I172" s="11">
        <f>INDEX('01_Benchmark_Input'!$B$2:$B$10,MATCH(B172,'01_Benchmark_Input'!$A$2:$A$10,0))</f>
        <v/>
      </c>
      <c r="J172" s="11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9" t="n">
        <v>2.35</v>
      </c>
      <c r="E173" s="10" t="n">
        <v>0.46042553</v>
      </c>
      <c r="F173" s="9" t="n">
        <v>1.23</v>
      </c>
      <c r="G173" s="10" t="n">
        <v>0.84</v>
      </c>
      <c r="H173" s="10" t="n">
        <v>0.675</v>
      </c>
      <c r="I173" s="11">
        <f>INDEX('01_Benchmark_Input'!$B$2:$B$10,MATCH(B173,'01_Benchmark_Input'!$A$2:$A$10,0))</f>
        <v/>
      </c>
      <c r="J173" s="11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9" t="n">
        <v>2.9</v>
      </c>
      <c r="E174" s="10" t="n">
        <v>0.53103448</v>
      </c>
      <c r="F174" s="9" t="n">
        <v>1.23</v>
      </c>
      <c r="G174" s="10" t="n">
        <v>0.84</v>
      </c>
      <c r="H174" s="10" t="n">
        <v>0.73</v>
      </c>
      <c r="I174" s="11">
        <f>INDEX('01_Benchmark_Input'!$B$2:$B$10,MATCH(B174,'01_Benchmark_Input'!$A$2:$A$10,0))</f>
        <v/>
      </c>
      <c r="J174" s="11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9" t="n">
        <v>3.45</v>
      </c>
      <c r="E175" s="10" t="n">
        <v>0.56463768</v>
      </c>
      <c r="F175" s="9" t="n">
        <v>1.23</v>
      </c>
      <c r="G175" s="10" t="n">
        <v>0.84</v>
      </c>
      <c r="H175" s="10" t="n">
        <v>0.785</v>
      </c>
      <c r="I175" s="11">
        <f>INDEX('01_Benchmark_Input'!$B$2:$B$10,MATCH(B175,'01_Benchmark_Input'!$A$2:$A$10,0))</f>
        <v/>
      </c>
      <c r="J175" s="11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9" t="n">
        <v>4</v>
      </c>
      <c r="E176" s="10" t="n">
        <v>0.576</v>
      </c>
      <c r="F176" s="9" t="n">
        <v>1.23</v>
      </c>
      <c r="G176" s="10" t="n">
        <v>0.84</v>
      </c>
      <c r="H176" s="10" t="n">
        <v>0.84</v>
      </c>
      <c r="I176" s="11">
        <f>INDEX('01_Benchmark_Input'!$B$2:$B$10,MATCH(B176,'01_Benchmark_Input'!$A$2:$A$10,0))</f>
        <v/>
      </c>
      <c r="J176" s="11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9" t="n">
        <v>1.2</v>
      </c>
      <c r="E177" s="10" t="n">
        <v>0.33</v>
      </c>
      <c r="F177" s="9" t="n">
        <v>1.23</v>
      </c>
      <c r="G177" s="10" t="n">
        <v>0.84</v>
      </c>
      <c r="H177" s="10" t="n">
        <v>0.62</v>
      </c>
      <c r="I177" s="11">
        <f>INDEX('01_Benchmark_Input'!$B$2:$B$10,MATCH(B177,'01_Benchmark_Input'!$A$2:$A$10,0))</f>
        <v/>
      </c>
      <c r="J177" s="11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9" t="n">
        <v>1.65</v>
      </c>
      <c r="E178" s="10" t="n">
        <v>0.4769697</v>
      </c>
      <c r="F178" s="9" t="n">
        <v>1.23</v>
      </c>
      <c r="G178" s="10" t="n">
        <v>0.84</v>
      </c>
      <c r="H178" s="10" t="n">
        <v>0.675</v>
      </c>
      <c r="I178" s="11">
        <f>INDEX('01_Benchmark_Input'!$B$2:$B$10,MATCH(B178,'01_Benchmark_Input'!$A$2:$A$10,0))</f>
        <v/>
      </c>
      <c r="J178" s="11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9" t="n">
        <v>2.1</v>
      </c>
      <c r="E179" s="10" t="n">
        <v>0.54285714</v>
      </c>
      <c r="F179" s="9" t="n">
        <v>1.23</v>
      </c>
      <c r="G179" s="10" t="n">
        <v>0.84</v>
      </c>
      <c r="H179" s="10" t="n">
        <v>0.73</v>
      </c>
      <c r="I179" s="11">
        <f>INDEX('01_Benchmark_Input'!$B$2:$B$10,MATCH(B179,'01_Benchmark_Input'!$A$2:$A$10,0))</f>
        <v/>
      </c>
      <c r="J179" s="11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9" t="n">
        <v>2.55</v>
      </c>
      <c r="E180" s="10" t="n">
        <v>0.57019608</v>
      </c>
      <c r="F180" s="9" t="n">
        <v>1.23</v>
      </c>
      <c r="G180" s="10" t="n">
        <v>0.84</v>
      </c>
      <c r="H180" s="10" t="n">
        <v>0.785</v>
      </c>
      <c r="I180" s="11">
        <f>INDEX('01_Benchmark_Input'!$B$2:$B$10,MATCH(B180,'01_Benchmark_Input'!$A$2:$A$10,0))</f>
        <v/>
      </c>
      <c r="J180" s="11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9" t="n">
        <v>3</v>
      </c>
      <c r="E181" s="10" t="n">
        <v>0.576</v>
      </c>
      <c r="F181" s="9" t="n">
        <v>1.23</v>
      </c>
      <c r="G181" s="10" t="n">
        <v>0.84</v>
      </c>
      <c r="H181" s="10" t="n">
        <v>0.84</v>
      </c>
      <c r="I181" s="11">
        <f>INDEX('01_Benchmark_Input'!$B$2:$B$10,MATCH(B181,'01_Benchmark_Input'!$A$2:$A$10,0))</f>
        <v/>
      </c>
      <c r="J181" s="11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1">
        <f>'02_Inputs'!A2</f>
        <v/>
      </c>
      <c r="B2" s="11">
        <f>'02_Inputs'!B2</f>
        <v/>
      </c>
      <c r="C2" s="11">
        <f>'02_Inputs'!C2</f>
        <v/>
      </c>
      <c r="D2" s="12">
        <f>'02_Inputs'!D2</f>
        <v/>
      </c>
      <c r="E2" s="6">
        <f>'02_Inputs'!E2</f>
        <v/>
      </c>
      <c r="F2" s="12">
        <f>D2*E2</f>
        <v/>
      </c>
      <c r="G2" s="11">
        <f>'02_Inputs'!F2</f>
        <v/>
      </c>
      <c r="H2" s="12">
        <f>F2/G2</f>
        <v/>
      </c>
      <c r="I2" s="6">
        <f>'02_Inputs'!G2</f>
        <v/>
      </c>
      <c r="J2" s="12">
        <f>H2*I2</f>
        <v/>
      </c>
      <c r="K2" s="6">
        <f>'02_Inputs'!H2</f>
        <v/>
      </c>
      <c r="L2" s="12">
        <f>J2*K2</f>
        <v/>
      </c>
      <c r="M2" s="12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1">
        <f>L2*1000*AA2*86400</f>
        <v/>
      </c>
      <c r="AC2" s="11">
        <f>AB2*365</f>
        <v/>
      </c>
    </row>
    <row r="3">
      <c r="A3" s="11">
        <f>'02_Inputs'!A3</f>
        <v/>
      </c>
      <c r="B3" s="11">
        <f>'02_Inputs'!B3</f>
        <v/>
      </c>
      <c r="C3" s="11">
        <f>'02_Inputs'!C3</f>
        <v/>
      </c>
      <c r="D3" s="12">
        <f>'02_Inputs'!D3</f>
        <v/>
      </c>
      <c r="E3" s="6">
        <f>'02_Inputs'!E3</f>
        <v/>
      </c>
      <c r="F3" s="12">
        <f>D3*E3</f>
        <v/>
      </c>
      <c r="G3" s="11">
        <f>'02_Inputs'!F3</f>
        <v/>
      </c>
      <c r="H3" s="12">
        <f>F3/G3</f>
        <v/>
      </c>
      <c r="I3" s="6">
        <f>'02_Inputs'!G3</f>
        <v/>
      </c>
      <c r="J3" s="12">
        <f>H3*I3</f>
        <v/>
      </c>
      <c r="K3" s="6">
        <f>'02_Inputs'!H3</f>
        <v/>
      </c>
      <c r="L3" s="12">
        <f>J3*K3</f>
        <v/>
      </c>
      <c r="M3" s="12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1">
        <f>L3*1000*AA3*86400</f>
        <v/>
      </c>
      <c r="AC3" s="11">
        <f>AB3*365</f>
        <v/>
      </c>
    </row>
    <row r="4">
      <c r="A4" s="11">
        <f>'02_Inputs'!A4</f>
        <v/>
      </c>
      <c r="B4" s="11">
        <f>'02_Inputs'!B4</f>
        <v/>
      </c>
      <c r="C4" s="11">
        <f>'02_Inputs'!C4</f>
        <v/>
      </c>
      <c r="D4" s="12">
        <f>'02_Inputs'!D4</f>
        <v/>
      </c>
      <c r="E4" s="6">
        <f>'02_Inputs'!E4</f>
        <v/>
      </c>
      <c r="F4" s="12">
        <f>D4*E4</f>
        <v/>
      </c>
      <c r="G4" s="11">
        <f>'02_Inputs'!F4</f>
        <v/>
      </c>
      <c r="H4" s="12">
        <f>F4/G4</f>
        <v/>
      </c>
      <c r="I4" s="6">
        <f>'02_Inputs'!G4</f>
        <v/>
      </c>
      <c r="J4" s="12">
        <f>H4*I4</f>
        <v/>
      </c>
      <c r="K4" s="6">
        <f>'02_Inputs'!H4</f>
        <v/>
      </c>
      <c r="L4" s="12">
        <f>J4*K4</f>
        <v/>
      </c>
      <c r="M4" s="12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1">
        <f>L4*1000*AA4*86400</f>
        <v/>
      </c>
      <c r="AC4" s="11">
        <f>AB4*365</f>
        <v/>
      </c>
    </row>
    <row r="5">
      <c r="A5" s="11">
        <f>'02_Inputs'!A5</f>
        <v/>
      </c>
      <c r="B5" s="11">
        <f>'02_Inputs'!B5</f>
        <v/>
      </c>
      <c r="C5" s="11">
        <f>'02_Inputs'!C5</f>
        <v/>
      </c>
      <c r="D5" s="12">
        <f>'02_Inputs'!D5</f>
        <v/>
      </c>
      <c r="E5" s="6">
        <f>'02_Inputs'!E5</f>
        <v/>
      </c>
      <c r="F5" s="12">
        <f>D5*E5</f>
        <v/>
      </c>
      <c r="G5" s="11">
        <f>'02_Inputs'!F5</f>
        <v/>
      </c>
      <c r="H5" s="12">
        <f>F5/G5</f>
        <v/>
      </c>
      <c r="I5" s="6">
        <f>'02_Inputs'!G5</f>
        <v/>
      </c>
      <c r="J5" s="12">
        <f>H5*I5</f>
        <v/>
      </c>
      <c r="K5" s="6">
        <f>'02_Inputs'!H5</f>
        <v/>
      </c>
      <c r="L5" s="12">
        <f>J5*K5</f>
        <v/>
      </c>
      <c r="M5" s="12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1">
        <f>L5*1000*AA5*86400</f>
        <v/>
      </c>
      <c r="AC5" s="11">
        <f>AB5*365</f>
        <v/>
      </c>
    </row>
    <row r="6">
      <c r="A6" s="11">
        <f>'02_Inputs'!A6</f>
        <v/>
      </c>
      <c r="B6" s="11">
        <f>'02_Inputs'!B6</f>
        <v/>
      </c>
      <c r="C6" s="11">
        <f>'02_Inputs'!C6</f>
        <v/>
      </c>
      <c r="D6" s="12">
        <f>'02_Inputs'!D6</f>
        <v/>
      </c>
      <c r="E6" s="6">
        <f>'02_Inputs'!E6</f>
        <v/>
      </c>
      <c r="F6" s="12">
        <f>D6*E6</f>
        <v/>
      </c>
      <c r="G6" s="11">
        <f>'02_Inputs'!F6</f>
        <v/>
      </c>
      <c r="H6" s="12">
        <f>F6/G6</f>
        <v/>
      </c>
      <c r="I6" s="6">
        <f>'02_Inputs'!G6</f>
        <v/>
      </c>
      <c r="J6" s="12">
        <f>H6*I6</f>
        <v/>
      </c>
      <c r="K6" s="6">
        <f>'02_Inputs'!H6</f>
        <v/>
      </c>
      <c r="L6" s="12">
        <f>J6*K6</f>
        <v/>
      </c>
      <c r="M6" s="12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1">
        <f>L6*1000*AA6*86400</f>
        <v/>
      </c>
      <c r="AC6" s="11">
        <f>AB6*365</f>
        <v/>
      </c>
    </row>
    <row r="7">
      <c r="A7" s="11">
        <f>'02_Inputs'!A7</f>
        <v/>
      </c>
      <c r="B7" s="11">
        <f>'02_Inputs'!B7</f>
        <v/>
      </c>
      <c r="C7" s="11">
        <f>'02_Inputs'!C7</f>
        <v/>
      </c>
      <c r="D7" s="12">
        <f>'02_Inputs'!D7</f>
        <v/>
      </c>
      <c r="E7" s="6">
        <f>'02_Inputs'!E7</f>
        <v/>
      </c>
      <c r="F7" s="12">
        <f>D7*E7</f>
        <v/>
      </c>
      <c r="G7" s="11">
        <f>'02_Inputs'!F7</f>
        <v/>
      </c>
      <c r="H7" s="12">
        <f>F7/G7</f>
        <v/>
      </c>
      <c r="I7" s="6">
        <f>'02_Inputs'!G7</f>
        <v/>
      </c>
      <c r="J7" s="12">
        <f>H7*I7</f>
        <v/>
      </c>
      <c r="K7" s="6">
        <f>'02_Inputs'!H7</f>
        <v/>
      </c>
      <c r="L7" s="12">
        <f>J7*K7</f>
        <v/>
      </c>
      <c r="M7" s="12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1">
        <f>L7*1000*AA7*86400</f>
        <v/>
      </c>
      <c r="AC7" s="11">
        <f>AB7*365</f>
        <v/>
      </c>
    </row>
    <row r="8">
      <c r="A8" s="11">
        <f>'02_Inputs'!A8</f>
        <v/>
      </c>
      <c r="B8" s="11">
        <f>'02_Inputs'!B8</f>
        <v/>
      </c>
      <c r="C8" s="11">
        <f>'02_Inputs'!C8</f>
        <v/>
      </c>
      <c r="D8" s="12">
        <f>'02_Inputs'!D8</f>
        <v/>
      </c>
      <c r="E8" s="6">
        <f>'02_Inputs'!E8</f>
        <v/>
      </c>
      <c r="F8" s="12">
        <f>D8*E8</f>
        <v/>
      </c>
      <c r="G8" s="11">
        <f>'02_Inputs'!F8</f>
        <v/>
      </c>
      <c r="H8" s="12">
        <f>F8/G8</f>
        <v/>
      </c>
      <c r="I8" s="6">
        <f>'02_Inputs'!G8</f>
        <v/>
      </c>
      <c r="J8" s="12">
        <f>H8*I8</f>
        <v/>
      </c>
      <c r="K8" s="6">
        <f>'02_Inputs'!H8</f>
        <v/>
      </c>
      <c r="L8" s="12">
        <f>J8*K8</f>
        <v/>
      </c>
      <c r="M8" s="12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1">
        <f>L8*1000*AA8*86400</f>
        <v/>
      </c>
      <c r="AC8" s="11">
        <f>AB8*365</f>
        <v/>
      </c>
    </row>
    <row r="9">
      <c r="A9" s="11">
        <f>'02_Inputs'!A9</f>
        <v/>
      </c>
      <c r="B9" s="11">
        <f>'02_Inputs'!B9</f>
        <v/>
      </c>
      <c r="C9" s="11">
        <f>'02_Inputs'!C9</f>
        <v/>
      </c>
      <c r="D9" s="12">
        <f>'02_Inputs'!D9</f>
        <v/>
      </c>
      <c r="E9" s="6">
        <f>'02_Inputs'!E9</f>
        <v/>
      </c>
      <c r="F9" s="12">
        <f>D9*E9</f>
        <v/>
      </c>
      <c r="G9" s="11">
        <f>'02_Inputs'!F9</f>
        <v/>
      </c>
      <c r="H9" s="12">
        <f>F9/G9</f>
        <v/>
      </c>
      <c r="I9" s="6">
        <f>'02_Inputs'!G9</f>
        <v/>
      </c>
      <c r="J9" s="12">
        <f>H9*I9</f>
        <v/>
      </c>
      <c r="K9" s="6">
        <f>'02_Inputs'!H9</f>
        <v/>
      </c>
      <c r="L9" s="12">
        <f>J9*K9</f>
        <v/>
      </c>
      <c r="M9" s="12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1">
        <f>L9*1000*AA9*86400</f>
        <v/>
      </c>
      <c r="AC9" s="11">
        <f>AB9*365</f>
        <v/>
      </c>
    </row>
    <row r="10">
      <c r="A10" s="11">
        <f>'02_Inputs'!A10</f>
        <v/>
      </c>
      <c r="B10" s="11">
        <f>'02_Inputs'!B10</f>
        <v/>
      </c>
      <c r="C10" s="11">
        <f>'02_Inputs'!C10</f>
        <v/>
      </c>
      <c r="D10" s="12">
        <f>'02_Inputs'!D10</f>
        <v/>
      </c>
      <c r="E10" s="6">
        <f>'02_Inputs'!E10</f>
        <v/>
      </c>
      <c r="F10" s="12">
        <f>D10*E10</f>
        <v/>
      </c>
      <c r="G10" s="11">
        <f>'02_Inputs'!F10</f>
        <v/>
      </c>
      <c r="H10" s="12">
        <f>F10/G10</f>
        <v/>
      </c>
      <c r="I10" s="6">
        <f>'02_Inputs'!G10</f>
        <v/>
      </c>
      <c r="J10" s="12">
        <f>H10*I10</f>
        <v/>
      </c>
      <c r="K10" s="6">
        <f>'02_Inputs'!H10</f>
        <v/>
      </c>
      <c r="L10" s="12">
        <f>J10*K10</f>
        <v/>
      </c>
      <c r="M10" s="12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1">
        <f>L10*1000*AA10*86400</f>
        <v/>
      </c>
      <c r="AC10" s="11">
        <f>AB10*365</f>
        <v/>
      </c>
    </row>
    <row r="11">
      <c r="A11" s="11">
        <f>'02_Inputs'!A11</f>
        <v/>
      </c>
      <c r="B11" s="11">
        <f>'02_Inputs'!B11</f>
        <v/>
      </c>
      <c r="C11" s="11">
        <f>'02_Inputs'!C11</f>
        <v/>
      </c>
      <c r="D11" s="12">
        <f>'02_Inputs'!D11</f>
        <v/>
      </c>
      <c r="E11" s="6">
        <f>'02_Inputs'!E11</f>
        <v/>
      </c>
      <c r="F11" s="12">
        <f>D11*E11</f>
        <v/>
      </c>
      <c r="G11" s="11">
        <f>'02_Inputs'!F11</f>
        <v/>
      </c>
      <c r="H11" s="12">
        <f>F11/G11</f>
        <v/>
      </c>
      <c r="I11" s="6">
        <f>'02_Inputs'!G11</f>
        <v/>
      </c>
      <c r="J11" s="12">
        <f>H11*I11</f>
        <v/>
      </c>
      <c r="K11" s="6">
        <f>'02_Inputs'!H11</f>
        <v/>
      </c>
      <c r="L11" s="12">
        <f>J11*K11</f>
        <v/>
      </c>
      <c r="M11" s="12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1">
        <f>L11*1000*AA11*86400</f>
        <v/>
      </c>
      <c r="AC11" s="11">
        <f>AB11*365</f>
        <v/>
      </c>
    </row>
    <row r="12">
      <c r="A12" s="11">
        <f>'02_Inputs'!A12</f>
        <v/>
      </c>
      <c r="B12" s="11">
        <f>'02_Inputs'!B12</f>
        <v/>
      </c>
      <c r="C12" s="11">
        <f>'02_Inputs'!C12</f>
        <v/>
      </c>
      <c r="D12" s="12">
        <f>'02_Inputs'!D12</f>
        <v/>
      </c>
      <c r="E12" s="6">
        <f>'02_Inputs'!E12</f>
        <v/>
      </c>
      <c r="F12" s="12">
        <f>D12*E12</f>
        <v/>
      </c>
      <c r="G12" s="11">
        <f>'02_Inputs'!F12</f>
        <v/>
      </c>
      <c r="H12" s="12">
        <f>F12/G12</f>
        <v/>
      </c>
      <c r="I12" s="6">
        <f>'02_Inputs'!G12</f>
        <v/>
      </c>
      <c r="J12" s="12">
        <f>H12*I12</f>
        <v/>
      </c>
      <c r="K12" s="6">
        <f>'02_Inputs'!H12</f>
        <v/>
      </c>
      <c r="L12" s="12">
        <f>J12*K12</f>
        <v/>
      </c>
      <c r="M12" s="12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1">
        <f>L12*1000*AA12*86400</f>
        <v/>
      </c>
      <c r="AC12" s="11">
        <f>AB12*365</f>
        <v/>
      </c>
    </row>
    <row r="13">
      <c r="A13" s="11">
        <f>'02_Inputs'!A13</f>
        <v/>
      </c>
      <c r="B13" s="11">
        <f>'02_Inputs'!B13</f>
        <v/>
      </c>
      <c r="C13" s="11">
        <f>'02_Inputs'!C13</f>
        <v/>
      </c>
      <c r="D13" s="12">
        <f>'02_Inputs'!D13</f>
        <v/>
      </c>
      <c r="E13" s="6">
        <f>'02_Inputs'!E13</f>
        <v/>
      </c>
      <c r="F13" s="12">
        <f>D13*E13</f>
        <v/>
      </c>
      <c r="G13" s="11">
        <f>'02_Inputs'!F13</f>
        <v/>
      </c>
      <c r="H13" s="12">
        <f>F13/G13</f>
        <v/>
      </c>
      <c r="I13" s="6">
        <f>'02_Inputs'!G13</f>
        <v/>
      </c>
      <c r="J13" s="12">
        <f>H13*I13</f>
        <v/>
      </c>
      <c r="K13" s="6">
        <f>'02_Inputs'!H13</f>
        <v/>
      </c>
      <c r="L13" s="12">
        <f>J13*K13</f>
        <v/>
      </c>
      <c r="M13" s="12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1">
        <f>L13*1000*AA13*86400</f>
        <v/>
      </c>
      <c r="AC13" s="11">
        <f>AB13*365</f>
        <v/>
      </c>
    </row>
    <row r="14">
      <c r="A14" s="11">
        <f>'02_Inputs'!A14</f>
        <v/>
      </c>
      <c r="B14" s="11">
        <f>'02_Inputs'!B14</f>
        <v/>
      </c>
      <c r="C14" s="11">
        <f>'02_Inputs'!C14</f>
        <v/>
      </c>
      <c r="D14" s="12">
        <f>'02_Inputs'!D14</f>
        <v/>
      </c>
      <c r="E14" s="6">
        <f>'02_Inputs'!E14</f>
        <v/>
      </c>
      <c r="F14" s="12">
        <f>D14*E14</f>
        <v/>
      </c>
      <c r="G14" s="11">
        <f>'02_Inputs'!F14</f>
        <v/>
      </c>
      <c r="H14" s="12">
        <f>F14/G14</f>
        <v/>
      </c>
      <c r="I14" s="6">
        <f>'02_Inputs'!G14</f>
        <v/>
      </c>
      <c r="J14" s="12">
        <f>H14*I14</f>
        <v/>
      </c>
      <c r="K14" s="6">
        <f>'02_Inputs'!H14</f>
        <v/>
      </c>
      <c r="L14" s="12">
        <f>J14*K14</f>
        <v/>
      </c>
      <c r="M14" s="12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1">
        <f>L14*1000*AA14*86400</f>
        <v/>
      </c>
      <c r="AC14" s="11">
        <f>AB14*365</f>
        <v/>
      </c>
    </row>
    <row r="15">
      <c r="A15" s="11">
        <f>'02_Inputs'!A15</f>
        <v/>
      </c>
      <c r="B15" s="11">
        <f>'02_Inputs'!B15</f>
        <v/>
      </c>
      <c r="C15" s="11">
        <f>'02_Inputs'!C15</f>
        <v/>
      </c>
      <c r="D15" s="12">
        <f>'02_Inputs'!D15</f>
        <v/>
      </c>
      <c r="E15" s="6">
        <f>'02_Inputs'!E15</f>
        <v/>
      </c>
      <c r="F15" s="12">
        <f>D15*E15</f>
        <v/>
      </c>
      <c r="G15" s="11">
        <f>'02_Inputs'!F15</f>
        <v/>
      </c>
      <c r="H15" s="12">
        <f>F15/G15</f>
        <v/>
      </c>
      <c r="I15" s="6">
        <f>'02_Inputs'!G15</f>
        <v/>
      </c>
      <c r="J15" s="12">
        <f>H15*I15</f>
        <v/>
      </c>
      <c r="K15" s="6">
        <f>'02_Inputs'!H15</f>
        <v/>
      </c>
      <c r="L15" s="12">
        <f>J15*K15</f>
        <v/>
      </c>
      <c r="M15" s="12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1">
        <f>L15*1000*AA15*86400</f>
        <v/>
      </c>
      <c r="AC15" s="11">
        <f>AB15*365</f>
        <v/>
      </c>
    </row>
    <row r="16">
      <c r="A16" s="11">
        <f>'02_Inputs'!A16</f>
        <v/>
      </c>
      <c r="B16" s="11">
        <f>'02_Inputs'!B16</f>
        <v/>
      </c>
      <c r="C16" s="11">
        <f>'02_Inputs'!C16</f>
        <v/>
      </c>
      <c r="D16" s="12">
        <f>'02_Inputs'!D16</f>
        <v/>
      </c>
      <c r="E16" s="6">
        <f>'02_Inputs'!E16</f>
        <v/>
      </c>
      <c r="F16" s="12">
        <f>D16*E16</f>
        <v/>
      </c>
      <c r="G16" s="11">
        <f>'02_Inputs'!F16</f>
        <v/>
      </c>
      <c r="H16" s="12">
        <f>F16/G16</f>
        <v/>
      </c>
      <c r="I16" s="6">
        <f>'02_Inputs'!G16</f>
        <v/>
      </c>
      <c r="J16" s="12">
        <f>H16*I16</f>
        <v/>
      </c>
      <c r="K16" s="6">
        <f>'02_Inputs'!H16</f>
        <v/>
      </c>
      <c r="L16" s="12">
        <f>J16*K16</f>
        <v/>
      </c>
      <c r="M16" s="12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1">
        <f>L16*1000*AA16*86400</f>
        <v/>
      </c>
      <c r="AC16" s="11">
        <f>AB16*365</f>
        <v/>
      </c>
    </row>
    <row r="17">
      <c r="A17" s="11">
        <f>'02_Inputs'!A17</f>
        <v/>
      </c>
      <c r="B17" s="11">
        <f>'02_Inputs'!B17</f>
        <v/>
      </c>
      <c r="C17" s="11">
        <f>'02_Inputs'!C17</f>
        <v/>
      </c>
      <c r="D17" s="12">
        <f>'02_Inputs'!D17</f>
        <v/>
      </c>
      <c r="E17" s="6">
        <f>'02_Inputs'!E17</f>
        <v/>
      </c>
      <c r="F17" s="12">
        <f>D17*E17</f>
        <v/>
      </c>
      <c r="G17" s="11">
        <f>'02_Inputs'!F17</f>
        <v/>
      </c>
      <c r="H17" s="12">
        <f>F17/G17</f>
        <v/>
      </c>
      <c r="I17" s="6">
        <f>'02_Inputs'!G17</f>
        <v/>
      </c>
      <c r="J17" s="12">
        <f>H17*I17</f>
        <v/>
      </c>
      <c r="K17" s="6">
        <f>'02_Inputs'!H17</f>
        <v/>
      </c>
      <c r="L17" s="12">
        <f>J17*K17</f>
        <v/>
      </c>
      <c r="M17" s="12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1">
        <f>L17*1000*AA17*86400</f>
        <v/>
      </c>
      <c r="AC17" s="11">
        <f>AB17*365</f>
        <v/>
      </c>
    </row>
    <row r="18">
      <c r="A18" s="11">
        <f>'02_Inputs'!A18</f>
        <v/>
      </c>
      <c r="B18" s="11">
        <f>'02_Inputs'!B18</f>
        <v/>
      </c>
      <c r="C18" s="11">
        <f>'02_Inputs'!C18</f>
        <v/>
      </c>
      <c r="D18" s="12">
        <f>'02_Inputs'!D18</f>
        <v/>
      </c>
      <c r="E18" s="6">
        <f>'02_Inputs'!E18</f>
        <v/>
      </c>
      <c r="F18" s="12">
        <f>D18*E18</f>
        <v/>
      </c>
      <c r="G18" s="11">
        <f>'02_Inputs'!F18</f>
        <v/>
      </c>
      <c r="H18" s="12">
        <f>F18/G18</f>
        <v/>
      </c>
      <c r="I18" s="6">
        <f>'02_Inputs'!G18</f>
        <v/>
      </c>
      <c r="J18" s="12">
        <f>H18*I18</f>
        <v/>
      </c>
      <c r="K18" s="6">
        <f>'02_Inputs'!H18</f>
        <v/>
      </c>
      <c r="L18" s="12">
        <f>J18*K18</f>
        <v/>
      </c>
      <c r="M18" s="12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1">
        <f>L18*1000*AA18*86400</f>
        <v/>
      </c>
      <c r="AC18" s="11">
        <f>AB18*365</f>
        <v/>
      </c>
    </row>
    <row r="19">
      <c r="A19" s="11">
        <f>'02_Inputs'!A19</f>
        <v/>
      </c>
      <c r="B19" s="11">
        <f>'02_Inputs'!B19</f>
        <v/>
      </c>
      <c r="C19" s="11">
        <f>'02_Inputs'!C19</f>
        <v/>
      </c>
      <c r="D19" s="12">
        <f>'02_Inputs'!D19</f>
        <v/>
      </c>
      <c r="E19" s="6">
        <f>'02_Inputs'!E19</f>
        <v/>
      </c>
      <c r="F19" s="12">
        <f>D19*E19</f>
        <v/>
      </c>
      <c r="G19" s="11">
        <f>'02_Inputs'!F19</f>
        <v/>
      </c>
      <c r="H19" s="12">
        <f>F19/G19</f>
        <v/>
      </c>
      <c r="I19" s="6">
        <f>'02_Inputs'!G19</f>
        <v/>
      </c>
      <c r="J19" s="12">
        <f>H19*I19</f>
        <v/>
      </c>
      <c r="K19" s="6">
        <f>'02_Inputs'!H19</f>
        <v/>
      </c>
      <c r="L19" s="12">
        <f>J19*K19</f>
        <v/>
      </c>
      <c r="M19" s="12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1">
        <f>L19*1000*AA19*86400</f>
        <v/>
      </c>
      <c r="AC19" s="11">
        <f>AB19*365</f>
        <v/>
      </c>
    </row>
    <row r="20">
      <c r="A20" s="11">
        <f>'02_Inputs'!A20</f>
        <v/>
      </c>
      <c r="B20" s="11">
        <f>'02_Inputs'!B20</f>
        <v/>
      </c>
      <c r="C20" s="11">
        <f>'02_Inputs'!C20</f>
        <v/>
      </c>
      <c r="D20" s="12">
        <f>'02_Inputs'!D20</f>
        <v/>
      </c>
      <c r="E20" s="6">
        <f>'02_Inputs'!E20</f>
        <v/>
      </c>
      <c r="F20" s="12">
        <f>D20*E20</f>
        <v/>
      </c>
      <c r="G20" s="11">
        <f>'02_Inputs'!F20</f>
        <v/>
      </c>
      <c r="H20" s="12">
        <f>F20/G20</f>
        <v/>
      </c>
      <c r="I20" s="6">
        <f>'02_Inputs'!G20</f>
        <v/>
      </c>
      <c r="J20" s="12">
        <f>H20*I20</f>
        <v/>
      </c>
      <c r="K20" s="6">
        <f>'02_Inputs'!H20</f>
        <v/>
      </c>
      <c r="L20" s="12">
        <f>J20*K20</f>
        <v/>
      </c>
      <c r="M20" s="12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1">
        <f>L20*1000*AA20*86400</f>
        <v/>
      </c>
      <c r="AC20" s="11">
        <f>AB20*365</f>
        <v/>
      </c>
    </row>
    <row r="21">
      <c r="A21" s="11">
        <f>'02_Inputs'!A21</f>
        <v/>
      </c>
      <c r="B21" s="11">
        <f>'02_Inputs'!B21</f>
        <v/>
      </c>
      <c r="C21" s="11">
        <f>'02_Inputs'!C21</f>
        <v/>
      </c>
      <c r="D21" s="12">
        <f>'02_Inputs'!D21</f>
        <v/>
      </c>
      <c r="E21" s="6">
        <f>'02_Inputs'!E21</f>
        <v/>
      </c>
      <c r="F21" s="12">
        <f>D21*E21</f>
        <v/>
      </c>
      <c r="G21" s="11">
        <f>'02_Inputs'!F21</f>
        <v/>
      </c>
      <c r="H21" s="12">
        <f>F21/G21</f>
        <v/>
      </c>
      <c r="I21" s="6">
        <f>'02_Inputs'!G21</f>
        <v/>
      </c>
      <c r="J21" s="12">
        <f>H21*I21</f>
        <v/>
      </c>
      <c r="K21" s="6">
        <f>'02_Inputs'!H21</f>
        <v/>
      </c>
      <c r="L21" s="12">
        <f>J21*K21</f>
        <v/>
      </c>
      <c r="M21" s="12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1">
        <f>L21*1000*AA21*86400</f>
        <v/>
      </c>
      <c r="AC21" s="11">
        <f>AB21*365</f>
        <v/>
      </c>
    </row>
    <row r="22">
      <c r="A22" s="11">
        <f>'02_Inputs'!A22</f>
        <v/>
      </c>
      <c r="B22" s="11">
        <f>'02_Inputs'!B22</f>
        <v/>
      </c>
      <c r="C22" s="11">
        <f>'02_Inputs'!C22</f>
        <v/>
      </c>
      <c r="D22" s="12">
        <f>'02_Inputs'!D22</f>
        <v/>
      </c>
      <c r="E22" s="6">
        <f>'02_Inputs'!E22</f>
        <v/>
      </c>
      <c r="F22" s="12">
        <f>D22*E22</f>
        <v/>
      </c>
      <c r="G22" s="11">
        <f>'02_Inputs'!F22</f>
        <v/>
      </c>
      <c r="H22" s="12">
        <f>F22/G22</f>
        <v/>
      </c>
      <c r="I22" s="6">
        <f>'02_Inputs'!G22</f>
        <v/>
      </c>
      <c r="J22" s="12">
        <f>H22*I22</f>
        <v/>
      </c>
      <c r="K22" s="6">
        <f>'02_Inputs'!H22</f>
        <v/>
      </c>
      <c r="L22" s="12">
        <f>J22*K22</f>
        <v/>
      </c>
      <c r="M22" s="12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1">
        <f>L22*1000*AA22*86400</f>
        <v/>
      </c>
      <c r="AC22" s="11">
        <f>AB22*365</f>
        <v/>
      </c>
    </row>
    <row r="23">
      <c r="A23" s="11">
        <f>'02_Inputs'!A23</f>
        <v/>
      </c>
      <c r="B23" s="11">
        <f>'02_Inputs'!B23</f>
        <v/>
      </c>
      <c r="C23" s="11">
        <f>'02_Inputs'!C23</f>
        <v/>
      </c>
      <c r="D23" s="12">
        <f>'02_Inputs'!D23</f>
        <v/>
      </c>
      <c r="E23" s="6">
        <f>'02_Inputs'!E23</f>
        <v/>
      </c>
      <c r="F23" s="12">
        <f>D23*E23</f>
        <v/>
      </c>
      <c r="G23" s="11">
        <f>'02_Inputs'!F23</f>
        <v/>
      </c>
      <c r="H23" s="12">
        <f>F23/G23</f>
        <v/>
      </c>
      <c r="I23" s="6">
        <f>'02_Inputs'!G23</f>
        <v/>
      </c>
      <c r="J23" s="12">
        <f>H23*I23</f>
        <v/>
      </c>
      <c r="K23" s="6">
        <f>'02_Inputs'!H23</f>
        <v/>
      </c>
      <c r="L23" s="12">
        <f>J23*K23</f>
        <v/>
      </c>
      <c r="M23" s="12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1">
        <f>L23*1000*AA23*86400</f>
        <v/>
      </c>
      <c r="AC23" s="11">
        <f>AB23*365</f>
        <v/>
      </c>
    </row>
    <row r="24">
      <c r="A24" s="11">
        <f>'02_Inputs'!A24</f>
        <v/>
      </c>
      <c r="B24" s="11">
        <f>'02_Inputs'!B24</f>
        <v/>
      </c>
      <c r="C24" s="11">
        <f>'02_Inputs'!C24</f>
        <v/>
      </c>
      <c r="D24" s="12">
        <f>'02_Inputs'!D24</f>
        <v/>
      </c>
      <c r="E24" s="6">
        <f>'02_Inputs'!E24</f>
        <v/>
      </c>
      <c r="F24" s="12">
        <f>D24*E24</f>
        <v/>
      </c>
      <c r="G24" s="11">
        <f>'02_Inputs'!F24</f>
        <v/>
      </c>
      <c r="H24" s="12">
        <f>F24/G24</f>
        <v/>
      </c>
      <c r="I24" s="6">
        <f>'02_Inputs'!G24</f>
        <v/>
      </c>
      <c r="J24" s="12">
        <f>H24*I24</f>
        <v/>
      </c>
      <c r="K24" s="6">
        <f>'02_Inputs'!H24</f>
        <v/>
      </c>
      <c r="L24" s="12">
        <f>J24*K24</f>
        <v/>
      </c>
      <c r="M24" s="12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1">
        <f>L24*1000*AA24*86400</f>
        <v/>
      </c>
      <c r="AC24" s="11">
        <f>AB24*365</f>
        <v/>
      </c>
    </row>
    <row r="25">
      <c r="A25" s="11">
        <f>'02_Inputs'!A25</f>
        <v/>
      </c>
      <c r="B25" s="11">
        <f>'02_Inputs'!B25</f>
        <v/>
      </c>
      <c r="C25" s="11">
        <f>'02_Inputs'!C25</f>
        <v/>
      </c>
      <c r="D25" s="12">
        <f>'02_Inputs'!D25</f>
        <v/>
      </c>
      <c r="E25" s="6">
        <f>'02_Inputs'!E25</f>
        <v/>
      </c>
      <c r="F25" s="12">
        <f>D25*E25</f>
        <v/>
      </c>
      <c r="G25" s="11">
        <f>'02_Inputs'!F25</f>
        <v/>
      </c>
      <c r="H25" s="12">
        <f>F25/G25</f>
        <v/>
      </c>
      <c r="I25" s="6">
        <f>'02_Inputs'!G25</f>
        <v/>
      </c>
      <c r="J25" s="12">
        <f>H25*I25</f>
        <v/>
      </c>
      <c r="K25" s="6">
        <f>'02_Inputs'!H25</f>
        <v/>
      </c>
      <c r="L25" s="12">
        <f>J25*K25</f>
        <v/>
      </c>
      <c r="M25" s="12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1">
        <f>L25*1000*AA25*86400</f>
        <v/>
      </c>
      <c r="AC25" s="11">
        <f>AB25*365</f>
        <v/>
      </c>
    </row>
    <row r="26">
      <c r="A26" s="11">
        <f>'02_Inputs'!A26</f>
        <v/>
      </c>
      <c r="B26" s="11">
        <f>'02_Inputs'!B26</f>
        <v/>
      </c>
      <c r="C26" s="11">
        <f>'02_Inputs'!C26</f>
        <v/>
      </c>
      <c r="D26" s="12">
        <f>'02_Inputs'!D26</f>
        <v/>
      </c>
      <c r="E26" s="6">
        <f>'02_Inputs'!E26</f>
        <v/>
      </c>
      <c r="F26" s="12">
        <f>D26*E26</f>
        <v/>
      </c>
      <c r="G26" s="11">
        <f>'02_Inputs'!F26</f>
        <v/>
      </c>
      <c r="H26" s="12">
        <f>F26/G26</f>
        <v/>
      </c>
      <c r="I26" s="6">
        <f>'02_Inputs'!G26</f>
        <v/>
      </c>
      <c r="J26" s="12">
        <f>H26*I26</f>
        <v/>
      </c>
      <c r="K26" s="6">
        <f>'02_Inputs'!H26</f>
        <v/>
      </c>
      <c r="L26" s="12">
        <f>J26*K26</f>
        <v/>
      </c>
      <c r="M26" s="12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1">
        <f>L26*1000*AA26*86400</f>
        <v/>
      </c>
      <c r="AC26" s="11">
        <f>AB26*365</f>
        <v/>
      </c>
    </row>
    <row r="27">
      <c r="A27" s="11">
        <f>'02_Inputs'!A27</f>
        <v/>
      </c>
      <c r="B27" s="11">
        <f>'02_Inputs'!B27</f>
        <v/>
      </c>
      <c r="C27" s="11">
        <f>'02_Inputs'!C27</f>
        <v/>
      </c>
      <c r="D27" s="12">
        <f>'02_Inputs'!D27</f>
        <v/>
      </c>
      <c r="E27" s="6">
        <f>'02_Inputs'!E27</f>
        <v/>
      </c>
      <c r="F27" s="12">
        <f>D27*E27</f>
        <v/>
      </c>
      <c r="G27" s="11">
        <f>'02_Inputs'!F27</f>
        <v/>
      </c>
      <c r="H27" s="12">
        <f>F27/G27</f>
        <v/>
      </c>
      <c r="I27" s="6">
        <f>'02_Inputs'!G27</f>
        <v/>
      </c>
      <c r="J27" s="12">
        <f>H27*I27</f>
        <v/>
      </c>
      <c r="K27" s="6">
        <f>'02_Inputs'!H27</f>
        <v/>
      </c>
      <c r="L27" s="12">
        <f>J27*K27</f>
        <v/>
      </c>
      <c r="M27" s="12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1">
        <f>L27*1000*AA27*86400</f>
        <v/>
      </c>
      <c r="AC27" s="11">
        <f>AB27*365</f>
        <v/>
      </c>
    </row>
    <row r="28">
      <c r="A28" s="11">
        <f>'02_Inputs'!A28</f>
        <v/>
      </c>
      <c r="B28" s="11">
        <f>'02_Inputs'!B28</f>
        <v/>
      </c>
      <c r="C28" s="11">
        <f>'02_Inputs'!C28</f>
        <v/>
      </c>
      <c r="D28" s="12">
        <f>'02_Inputs'!D28</f>
        <v/>
      </c>
      <c r="E28" s="6">
        <f>'02_Inputs'!E28</f>
        <v/>
      </c>
      <c r="F28" s="12">
        <f>D28*E28</f>
        <v/>
      </c>
      <c r="G28" s="11">
        <f>'02_Inputs'!F28</f>
        <v/>
      </c>
      <c r="H28" s="12">
        <f>F28/G28</f>
        <v/>
      </c>
      <c r="I28" s="6">
        <f>'02_Inputs'!G28</f>
        <v/>
      </c>
      <c r="J28" s="12">
        <f>H28*I28</f>
        <v/>
      </c>
      <c r="K28" s="6">
        <f>'02_Inputs'!H28</f>
        <v/>
      </c>
      <c r="L28" s="12">
        <f>J28*K28</f>
        <v/>
      </c>
      <c r="M28" s="12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1">
        <f>L28*1000*AA28*86400</f>
        <v/>
      </c>
      <c r="AC28" s="11">
        <f>AB28*365</f>
        <v/>
      </c>
    </row>
    <row r="29">
      <c r="A29" s="11">
        <f>'02_Inputs'!A29</f>
        <v/>
      </c>
      <c r="B29" s="11">
        <f>'02_Inputs'!B29</f>
        <v/>
      </c>
      <c r="C29" s="11">
        <f>'02_Inputs'!C29</f>
        <v/>
      </c>
      <c r="D29" s="12">
        <f>'02_Inputs'!D29</f>
        <v/>
      </c>
      <c r="E29" s="6">
        <f>'02_Inputs'!E29</f>
        <v/>
      </c>
      <c r="F29" s="12">
        <f>D29*E29</f>
        <v/>
      </c>
      <c r="G29" s="11">
        <f>'02_Inputs'!F29</f>
        <v/>
      </c>
      <c r="H29" s="12">
        <f>F29/G29</f>
        <v/>
      </c>
      <c r="I29" s="6">
        <f>'02_Inputs'!G29</f>
        <v/>
      </c>
      <c r="J29" s="12">
        <f>H29*I29</f>
        <v/>
      </c>
      <c r="K29" s="6">
        <f>'02_Inputs'!H29</f>
        <v/>
      </c>
      <c r="L29" s="12">
        <f>J29*K29</f>
        <v/>
      </c>
      <c r="M29" s="12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1">
        <f>L29*1000*AA29*86400</f>
        <v/>
      </c>
      <c r="AC29" s="11">
        <f>AB29*365</f>
        <v/>
      </c>
    </row>
    <row r="30">
      <c r="A30" s="11">
        <f>'02_Inputs'!A30</f>
        <v/>
      </c>
      <c r="B30" s="11">
        <f>'02_Inputs'!B30</f>
        <v/>
      </c>
      <c r="C30" s="11">
        <f>'02_Inputs'!C30</f>
        <v/>
      </c>
      <c r="D30" s="12">
        <f>'02_Inputs'!D30</f>
        <v/>
      </c>
      <c r="E30" s="6">
        <f>'02_Inputs'!E30</f>
        <v/>
      </c>
      <c r="F30" s="12">
        <f>D30*E30</f>
        <v/>
      </c>
      <c r="G30" s="11">
        <f>'02_Inputs'!F30</f>
        <v/>
      </c>
      <c r="H30" s="12">
        <f>F30/G30</f>
        <v/>
      </c>
      <c r="I30" s="6">
        <f>'02_Inputs'!G30</f>
        <v/>
      </c>
      <c r="J30" s="12">
        <f>H30*I30</f>
        <v/>
      </c>
      <c r="K30" s="6">
        <f>'02_Inputs'!H30</f>
        <v/>
      </c>
      <c r="L30" s="12">
        <f>J30*K30</f>
        <v/>
      </c>
      <c r="M30" s="12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1">
        <f>L30*1000*AA30*86400</f>
        <v/>
      </c>
      <c r="AC30" s="11">
        <f>AB30*365</f>
        <v/>
      </c>
    </row>
    <row r="31">
      <c r="A31" s="11">
        <f>'02_Inputs'!A31</f>
        <v/>
      </c>
      <c r="B31" s="11">
        <f>'02_Inputs'!B31</f>
        <v/>
      </c>
      <c r="C31" s="11">
        <f>'02_Inputs'!C31</f>
        <v/>
      </c>
      <c r="D31" s="12">
        <f>'02_Inputs'!D31</f>
        <v/>
      </c>
      <c r="E31" s="6">
        <f>'02_Inputs'!E31</f>
        <v/>
      </c>
      <c r="F31" s="12">
        <f>D31*E31</f>
        <v/>
      </c>
      <c r="G31" s="11">
        <f>'02_Inputs'!F31</f>
        <v/>
      </c>
      <c r="H31" s="12">
        <f>F31/G31</f>
        <v/>
      </c>
      <c r="I31" s="6">
        <f>'02_Inputs'!G31</f>
        <v/>
      </c>
      <c r="J31" s="12">
        <f>H31*I31</f>
        <v/>
      </c>
      <c r="K31" s="6">
        <f>'02_Inputs'!H31</f>
        <v/>
      </c>
      <c r="L31" s="12">
        <f>J31*K31</f>
        <v/>
      </c>
      <c r="M31" s="12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1">
        <f>L31*1000*AA31*86400</f>
        <v/>
      </c>
      <c r="AC31" s="11">
        <f>AB31*365</f>
        <v/>
      </c>
    </row>
    <row r="32">
      <c r="A32" s="11">
        <f>'02_Inputs'!A32</f>
        <v/>
      </c>
      <c r="B32" s="11">
        <f>'02_Inputs'!B32</f>
        <v/>
      </c>
      <c r="C32" s="11">
        <f>'02_Inputs'!C32</f>
        <v/>
      </c>
      <c r="D32" s="12">
        <f>'02_Inputs'!D32</f>
        <v/>
      </c>
      <c r="E32" s="6">
        <f>'02_Inputs'!E32</f>
        <v/>
      </c>
      <c r="F32" s="12">
        <f>D32*E32</f>
        <v/>
      </c>
      <c r="G32" s="11">
        <f>'02_Inputs'!F32</f>
        <v/>
      </c>
      <c r="H32" s="12">
        <f>F32/G32</f>
        <v/>
      </c>
      <c r="I32" s="6">
        <f>'02_Inputs'!G32</f>
        <v/>
      </c>
      <c r="J32" s="12">
        <f>H32*I32</f>
        <v/>
      </c>
      <c r="K32" s="6">
        <f>'02_Inputs'!H32</f>
        <v/>
      </c>
      <c r="L32" s="12">
        <f>J32*K32</f>
        <v/>
      </c>
      <c r="M32" s="12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1">
        <f>L32*1000*AA32*86400</f>
        <v/>
      </c>
      <c r="AC32" s="11">
        <f>AB32*365</f>
        <v/>
      </c>
    </row>
    <row r="33">
      <c r="A33" s="11">
        <f>'02_Inputs'!A33</f>
        <v/>
      </c>
      <c r="B33" s="11">
        <f>'02_Inputs'!B33</f>
        <v/>
      </c>
      <c r="C33" s="11">
        <f>'02_Inputs'!C33</f>
        <v/>
      </c>
      <c r="D33" s="12">
        <f>'02_Inputs'!D33</f>
        <v/>
      </c>
      <c r="E33" s="6">
        <f>'02_Inputs'!E33</f>
        <v/>
      </c>
      <c r="F33" s="12">
        <f>D33*E33</f>
        <v/>
      </c>
      <c r="G33" s="11">
        <f>'02_Inputs'!F33</f>
        <v/>
      </c>
      <c r="H33" s="12">
        <f>F33/G33</f>
        <v/>
      </c>
      <c r="I33" s="6">
        <f>'02_Inputs'!G33</f>
        <v/>
      </c>
      <c r="J33" s="12">
        <f>H33*I33</f>
        <v/>
      </c>
      <c r="K33" s="6">
        <f>'02_Inputs'!H33</f>
        <v/>
      </c>
      <c r="L33" s="12">
        <f>J33*K33</f>
        <v/>
      </c>
      <c r="M33" s="12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1">
        <f>L33*1000*AA33*86400</f>
        <v/>
      </c>
      <c r="AC33" s="11">
        <f>AB33*365</f>
        <v/>
      </c>
    </row>
    <row r="34">
      <c r="A34" s="11">
        <f>'02_Inputs'!A34</f>
        <v/>
      </c>
      <c r="B34" s="11">
        <f>'02_Inputs'!B34</f>
        <v/>
      </c>
      <c r="C34" s="11">
        <f>'02_Inputs'!C34</f>
        <v/>
      </c>
      <c r="D34" s="12">
        <f>'02_Inputs'!D34</f>
        <v/>
      </c>
      <c r="E34" s="6">
        <f>'02_Inputs'!E34</f>
        <v/>
      </c>
      <c r="F34" s="12">
        <f>D34*E34</f>
        <v/>
      </c>
      <c r="G34" s="11">
        <f>'02_Inputs'!F34</f>
        <v/>
      </c>
      <c r="H34" s="12">
        <f>F34/G34</f>
        <v/>
      </c>
      <c r="I34" s="6">
        <f>'02_Inputs'!G34</f>
        <v/>
      </c>
      <c r="J34" s="12">
        <f>H34*I34</f>
        <v/>
      </c>
      <c r="K34" s="6">
        <f>'02_Inputs'!H34</f>
        <v/>
      </c>
      <c r="L34" s="12">
        <f>J34*K34</f>
        <v/>
      </c>
      <c r="M34" s="12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1">
        <f>L34*1000*AA34*86400</f>
        <v/>
      </c>
      <c r="AC34" s="11">
        <f>AB34*365</f>
        <v/>
      </c>
    </row>
    <row r="35">
      <c r="A35" s="11">
        <f>'02_Inputs'!A35</f>
        <v/>
      </c>
      <c r="B35" s="11">
        <f>'02_Inputs'!B35</f>
        <v/>
      </c>
      <c r="C35" s="11">
        <f>'02_Inputs'!C35</f>
        <v/>
      </c>
      <c r="D35" s="12">
        <f>'02_Inputs'!D35</f>
        <v/>
      </c>
      <c r="E35" s="6">
        <f>'02_Inputs'!E35</f>
        <v/>
      </c>
      <c r="F35" s="12">
        <f>D35*E35</f>
        <v/>
      </c>
      <c r="G35" s="11">
        <f>'02_Inputs'!F35</f>
        <v/>
      </c>
      <c r="H35" s="12">
        <f>F35/G35</f>
        <v/>
      </c>
      <c r="I35" s="6">
        <f>'02_Inputs'!G35</f>
        <v/>
      </c>
      <c r="J35" s="12">
        <f>H35*I35</f>
        <v/>
      </c>
      <c r="K35" s="6">
        <f>'02_Inputs'!H35</f>
        <v/>
      </c>
      <c r="L35" s="12">
        <f>J35*K35</f>
        <v/>
      </c>
      <c r="M35" s="12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1">
        <f>L35*1000*AA35*86400</f>
        <v/>
      </c>
      <c r="AC35" s="11">
        <f>AB35*365</f>
        <v/>
      </c>
    </row>
    <row r="36">
      <c r="A36" s="11">
        <f>'02_Inputs'!A36</f>
        <v/>
      </c>
      <c r="B36" s="11">
        <f>'02_Inputs'!B36</f>
        <v/>
      </c>
      <c r="C36" s="11">
        <f>'02_Inputs'!C36</f>
        <v/>
      </c>
      <c r="D36" s="12">
        <f>'02_Inputs'!D36</f>
        <v/>
      </c>
      <c r="E36" s="6">
        <f>'02_Inputs'!E36</f>
        <v/>
      </c>
      <c r="F36" s="12">
        <f>D36*E36</f>
        <v/>
      </c>
      <c r="G36" s="11">
        <f>'02_Inputs'!F36</f>
        <v/>
      </c>
      <c r="H36" s="12">
        <f>F36/G36</f>
        <v/>
      </c>
      <c r="I36" s="6">
        <f>'02_Inputs'!G36</f>
        <v/>
      </c>
      <c r="J36" s="12">
        <f>H36*I36</f>
        <v/>
      </c>
      <c r="K36" s="6">
        <f>'02_Inputs'!H36</f>
        <v/>
      </c>
      <c r="L36" s="12">
        <f>J36*K36</f>
        <v/>
      </c>
      <c r="M36" s="12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1">
        <f>L36*1000*AA36*86400</f>
        <v/>
      </c>
      <c r="AC36" s="11">
        <f>AB36*365</f>
        <v/>
      </c>
    </row>
    <row r="37">
      <c r="A37" s="11">
        <f>'02_Inputs'!A37</f>
        <v/>
      </c>
      <c r="B37" s="11">
        <f>'02_Inputs'!B37</f>
        <v/>
      </c>
      <c r="C37" s="11">
        <f>'02_Inputs'!C37</f>
        <v/>
      </c>
      <c r="D37" s="12">
        <f>'02_Inputs'!D37</f>
        <v/>
      </c>
      <c r="E37" s="6">
        <f>'02_Inputs'!E37</f>
        <v/>
      </c>
      <c r="F37" s="12">
        <f>D37*E37</f>
        <v/>
      </c>
      <c r="G37" s="11">
        <f>'02_Inputs'!F37</f>
        <v/>
      </c>
      <c r="H37" s="12">
        <f>F37/G37</f>
        <v/>
      </c>
      <c r="I37" s="6">
        <f>'02_Inputs'!G37</f>
        <v/>
      </c>
      <c r="J37" s="12">
        <f>H37*I37</f>
        <v/>
      </c>
      <c r="K37" s="6">
        <f>'02_Inputs'!H37</f>
        <v/>
      </c>
      <c r="L37" s="12">
        <f>J37*K37</f>
        <v/>
      </c>
      <c r="M37" s="12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1">
        <f>L37*1000*AA37*86400</f>
        <v/>
      </c>
      <c r="AC37" s="11">
        <f>AB37*365</f>
        <v/>
      </c>
    </row>
    <row r="38">
      <c r="A38" s="11">
        <f>'02_Inputs'!A38</f>
        <v/>
      </c>
      <c r="B38" s="11">
        <f>'02_Inputs'!B38</f>
        <v/>
      </c>
      <c r="C38" s="11">
        <f>'02_Inputs'!C38</f>
        <v/>
      </c>
      <c r="D38" s="12">
        <f>'02_Inputs'!D38</f>
        <v/>
      </c>
      <c r="E38" s="6">
        <f>'02_Inputs'!E38</f>
        <v/>
      </c>
      <c r="F38" s="12">
        <f>D38*E38</f>
        <v/>
      </c>
      <c r="G38" s="11">
        <f>'02_Inputs'!F38</f>
        <v/>
      </c>
      <c r="H38" s="12">
        <f>F38/G38</f>
        <v/>
      </c>
      <c r="I38" s="6">
        <f>'02_Inputs'!G38</f>
        <v/>
      </c>
      <c r="J38" s="12">
        <f>H38*I38</f>
        <v/>
      </c>
      <c r="K38" s="6">
        <f>'02_Inputs'!H38</f>
        <v/>
      </c>
      <c r="L38" s="12">
        <f>J38*K38</f>
        <v/>
      </c>
      <c r="M38" s="12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1">
        <f>L38*1000*AA38*86400</f>
        <v/>
      </c>
      <c r="AC38" s="11">
        <f>AB38*365</f>
        <v/>
      </c>
    </row>
    <row r="39">
      <c r="A39" s="11">
        <f>'02_Inputs'!A39</f>
        <v/>
      </c>
      <c r="B39" s="11">
        <f>'02_Inputs'!B39</f>
        <v/>
      </c>
      <c r="C39" s="11">
        <f>'02_Inputs'!C39</f>
        <v/>
      </c>
      <c r="D39" s="12">
        <f>'02_Inputs'!D39</f>
        <v/>
      </c>
      <c r="E39" s="6">
        <f>'02_Inputs'!E39</f>
        <v/>
      </c>
      <c r="F39" s="12">
        <f>D39*E39</f>
        <v/>
      </c>
      <c r="G39" s="11">
        <f>'02_Inputs'!F39</f>
        <v/>
      </c>
      <c r="H39" s="12">
        <f>F39/G39</f>
        <v/>
      </c>
      <c r="I39" s="6">
        <f>'02_Inputs'!G39</f>
        <v/>
      </c>
      <c r="J39" s="12">
        <f>H39*I39</f>
        <v/>
      </c>
      <c r="K39" s="6">
        <f>'02_Inputs'!H39</f>
        <v/>
      </c>
      <c r="L39" s="12">
        <f>J39*K39</f>
        <v/>
      </c>
      <c r="M39" s="12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1">
        <f>L39*1000*AA39*86400</f>
        <v/>
      </c>
      <c r="AC39" s="11">
        <f>AB39*365</f>
        <v/>
      </c>
    </row>
    <row r="40">
      <c r="A40" s="11">
        <f>'02_Inputs'!A40</f>
        <v/>
      </c>
      <c r="B40" s="11">
        <f>'02_Inputs'!B40</f>
        <v/>
      </c>
      <c r="C40" s="11">
        <f>'02_Inputs'!C40</f>
        <v/>
      </c>
      <c r="D40" s="12">
        <f>'02_Inputs'!D40</f>
        <v/>
      </c>
      <c r="E40" s="6">
        <f>'02_Inputs'!E40</f>
        <v/>
      </c>
      <c r="F40" s="12">
        <f>D40*E40</f>
        <v/>
      </c>
      <c r="G40" s="11">
        <f>'02_Inputs'!F40</f>
        <v/>
      </c>
      <c r="H40" s="12">
        <f>F40/G40</f>
        <v/>
      </c>
      <c r="I40" s="6">
        <f>'02_Inputs'!G40</f>
        <v/>
      </c>
      <c r="J40" s="12">
        <f>H40*I40</f>
        <v/>
      </c>
      <c r="K40" s="6">
        <f>'02_Inputs'!H40</f>
        <v/>
      </c>
      <c r="L40" s="12">
        <f>J40*K40</f>
        <v/>
      </c>
      <c r="M40" s="12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1">
        <f>L40*1000*AA40*86400</f>
        <v/>
      </c>
      <c r="AC40" s="11">
        <f>AB40*365</f>
        <v/>
      </c>
    </row>
    <row r="41">
      <c r="A41" s="11">
        <f>'02_Inputs'!A41</f>
        <v/>
      </c>
      <c r="B41" s="11">
        <f>'02_Inputs'!B41</f>
        <v/>
      </c>
      <c r="C41" s="11">
        <f>'02_Inputs'!C41</f>
        <v/>
      </c>
      <c r="D41" s="12">
        <f>'02_Inputs'!D41</f>
        <v/>
      </c>
      <c r="E41" s="6">
        <f>'02_Inputs'!E41</f>
        <v/>
      </c>
      <c r="F41" s="12">
        <f>D41*E41</f>
        <v/>
      </c>
      <c r="G41" s="11">
        <f>'02_Inputs'!F41</f>
        <v/>
      </c>
      <c r="H41" s="12">
        <f>F41/G41</f>
        <v/>
      </c>
      <c r="I41" s="6">
        <f>'02_Inputs'!G41</f>
        <v/>
      </c>
      <c r="J41" s="12">
        <f>H41*I41</f>
        <v/>
      </c>
      <c r="K41" s="6">
        <f>'02_Inputs'!H41</f>
        <v/>
      </c>
      <c r="L41" s="12">
        <f>J41*K41</f>
        <v/>
      </c>
      <c r="M41" s="12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1">
        <f>L41*1000*AA41*86400</f>
        <v/>
      </c>
      <c r="AC41" s="11">
        <f>AB41*365</f>
        <v/>
      </c>
    </row>
    <row r="42">
      <c r="A42" s="11">
        <f>'02_Inputs'!A42</f>
        <v/>
      </c>
      <c r="B42" s="11">
        <f>'02_Inputs'!B42</f>
        <v/>
      </c>
      <c r="C42" s="11">
        <f>'02_Inputs'!C42</f>
        <v/>
      </c>
      <c r="D42" s="12">
        <f>'02_Inputs'!D42</f>
        <v/>
      </c>
      <c r="E42" s="6">
        <f>'02_Inputs'!E42</f>
        <v/>
      </c>
      <c r="F42" s="12">
        <f>D42*E42</f>
        <v/>
      </c>
      <c r="G42" s="11">
        <f>'02_Inputs'!F42</f>
        <v/>
      </c>
      <c r="H42" s="12">
        <f>F42/G42</f>
        <v/>
      </c>
      <c r="I42" s="6">
        <f>'02_Inputs'!G42</f>
        <v/>
      </c>
      <c r="J42" s="12">
        <f>H42*I42</f>
        <v/>
      </c>
      <c r="K42" s="6">
        <f>'02_Inputs'!H42</f>
        <v/>
      </c>
      <c r="L42" s="12">
        <f>J42*K42</f>
        <v/>
      </c>
      <c r="M42" s="12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1">
        <f>L42*1000*AA42*86400</f>
        <v/>
      </c>
      <c r="AC42" s="11">
        <f>AB42*365</f>
        <v/>
      </c>
    </row>
    <row r="43">
      <c r="A43" s="11">
        <f>'02_Inputs'!A43</f>
        <v/>
      </c>
      <c r="B43" s="11">
        <f>'02_Inputs'!B43</f>
        <v/>
      </c>
      <c r="C43" s="11">
        <f>'02_Inputs'!C43</f>
        <v/>
      </c>
      <c r="D43" s="12">
        <f>'02_Inputs'!D43</f>
        <v/>
      </c>
      <c r="E43" s="6">
        <f>'02_Inputs'!E43</f>
        <v/>
      </c>
      <c r="F43" s="12">
        <f>D43*E43</f>
        <v/>
      </c>
      <c r="G43" s="11">
        <f>'02_Inputs'!F43</f>
        <v/>
      </c>
      <c r="H43" s="12">
        <f>F43/G43</f>
        <v/>
      </c>
      <c r="I43" s="6">
        <f>'02_Inputs'!G43</f>
        <v/>
      </c>
      <c r="J43" s="12">
        <f>H43*I43</f>
        <v/>
      </c>
      <c r="K43" s="6">
        <f>'02_Inputs'!H43</f>
        <v/>
      </c>
      <c r="L43" s="12">
        <f>J43*K43</f>
        <v/>
      </c>
      <c r="M43" s="12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1">
        <f>L43*1000*AA43*86400</f>
        <v/>
      </c>
      <c r="AC43" s="11">
        <f>AB43*365</f>
        <v/>
      </c>
    </row>
    <row r="44">
      <c r="A44" s="11">
        <f>'02_Inputs'!A44</f>
        <v/>
      </c>
      <c r="B44" s="11">
        <f>'02_Inputs'!B44</f>
        <v/>
      </c>
      <c r="C44" s="11">
        <f>'02_Inputs'!C44</f>
        <v/>
      </c>
      <c r="D44" s="12">
        <f>'02_Inputs'!D44</f>
        <v/>
      </c>
      <c r="E44" s="6">
        <f>'02_Inputs'!E44</f>
        <v/>
      </c>
      <c r="F44" s="12">
        <f>D44*E44</f>
        <v/>
      </c>
      <c r="G44" s="11">
        <f>'02_Inputs'!F44</f>
        <v/>
      </c>
      <c r="H44" s="12">
        <f>F44/G44</f>
        <v/>
      </c>
      <c r="I44" s="6">
        <f>'02_Inputs'!G44</f>
        <v/>
      </c>
      <c r="J44" s="12">
        <f>H44*I44</f>
        <v/>
      </c>
      <c r="K44" s="6">
        <f>'02_Inputs'!H44</f>
        <v/>
      </c>
      <c r="L44" s="12">
        <f>J44*K44</f>
        <v/>
      </c>
      <c r="M44" s="12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1">
        <f>L44*1000*AA44*86400</f>
        <v/>
      </c>
      <c r="AC44" s="11">
        <f>AB44*365</f>
        <v/>
      </c>
    </row>
    <row r="45">
      <c r="A45" s="11">
        <f>'02_Inputs'!A45</f>
        <v/>
      </c>
      <c r="B45" s="11">
        <f>'02_Inputs'!B45</f>
        <v/>
      </c>
      <c r="C45" s="11">
        <f>'02_Inputs'!C45</f>
        <v/>
      </c>
      <c r="D45" s="12">
        <f>'02_Inputs'!D45</f>
        <v/>
      </c>
      <c r="E45" s="6">
        <f>'02_Inputs'!E45</f>
        <v/>
      </c>
      <c r="F45" s="12">
        <f>D45*E45</f>
        <v/>
      </c>
      <c r="G45" s="11">
        <f>'02_Inputs'!F45</f>
        <v/>
      </c>
      <c r="H45" s="12">
        <f>F45/G45</f>
        <v/>
      </c>
      <c r="I45" s="6">
        <f>'02_Inputs'!G45</f>
        <v/>
      </c>
      <c r="J45" s="12">
        <f>H45*I45</f>
        <v/>
      </c>
      <c r="K45" s="6">
        <f>'02_Inputs'!H45</f>
        <v/>
      </c>
      <c r="L45" s="12">
        <f>J45*K45</f>
        <v/>
      </c>
      <c r="M45" s="12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1">
        <f>L45*1000*AA45*86400</f>
        <v/>
      </c>
      <c r="AC45" s="11">
        <f>AB45*365</f>
        <v/>
      </c>
    </row>
    <row r="46">
      <c r="A46" s="11">
        <f>'02_Inputs'!A46</f>
        <v/>
      </c>
      <c r="B46" s="11">
        <f>'02_Inputs'!B46</f>
        <v/>
      </c>
      <c r="C46" s="11">
        <f>'02_Inputs'!C46</f>
        <v/>
      </c>
      <c r="D46" s="12">
        <f>'02_Inputs'!D46</f>
        <v/>
      </c>
      <c r="E46" s="6">
        <f>'02_Inputs'!E46</f>
        <v/>
      </c>
      <c r="F46" s="12">
        <f>D46*E46</f>
        <v/>
      </c>
      <c r="G46" s="11">
        <f>'02_Inputs'!F46</f>
        <v/>
      </c>
      <c r="H46" s="12">
        <f>F46/G46</f>
        <v/>
      </c>
      <c r="I46" s="6">
        <f>'02_Inputs'!G46</f>
        <v/>
      </c>
      <c r="J46" s="12">
        <f>H46*I46</f>
        <v/>
      </c>
      <c r="K46" s="6">
        <f>'02_Inputs'!H46</f>
        <v/>
      </c>
      <c r="L46" s="12">
        <f>J46*K46</f>
        <v/>
      </c>
      <c r="M46" s="12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1">
        <f>L46*1000*AA46*86400</f>
        <v/>
      </c>
      <c r="AC46" s="11">
        <f>AB46*365</f>
        <v/>
      </c>
    </row>
    <row r="47">
      <c r="A47" s="11">
        <f>'02_Inputs'!A47</f>
        <v/>
      </c>
      <c r="B47" s="11">
        <f>'02_Inputs'!B47</f>
        <v/>
      </c>
      <c r="C47" s="11">
        <f>'02_Inputs'!C47</f>
        <v/>
      </c>
      <c r="D47" s="12">
        <f>'02_Inputs'!D47</f>
        <v/>
      </c>
      <c r="E47" s="6">
        <f>'02_Inputs'!E47</f>
        <v/>
      </c>
      <c r="F47" s="12">
        <f>D47*E47</f>
        <v/>
      </c>
      <c r="G47" s="11">
        <f>'02_Inputs'!F47</f>
        <v/>
      </c>
      <c r="H47" s="12">
        <f>F47/G47</f>
        <v/>
      </c>
      <c r="I47" s="6">
        <f>'02_Inputs'!G47</f>
        <v/>
      </c>
      <c r="J47" s="12">
        <f>H47*I47</f>
        <v/>
      </c>
      <c r="K47" s="6">
        <f>'02_Inputs'!H47</f>
        <v/>
      </c>
      <c r="L47" s="12">
        <f>J47*K47</f>
        <v/>
      </c>
      <c r="M47" s="12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1">
        <f>L47*1000*AA47*86400</f>
        <v/>
      </c>
      <c r="AC47" s="11">
        <f>AB47*365</f>
        <v/>
      </c>
    </row>
    <row r="48">
      <c r="A48" s="11">
        <f>'02_Inputs'!A48</f>
        <v/>
      </c>
      <c r="B48" s="11">
        <f>'02_Inputs'!B48</f>
        <v/>
      </c>
      <c r="C48" s="11">
        <f>'02_Inputs'!C48</f>
        <v/>
      </c>
      <c r="D48" s="12">
        <f>'02_Inputs'!D48</f>
        <v/>
      </c>
      <c r="E48" s="6">
        <f>'02_Inputs'!E48</f>
        <v/>
      </c>
      <c r="F48" s="12">
        <f>D48*E48</f>
        <v/>
      </c>
      <c r="G48" s="11">
        <f>'02_Inputs'!F48</f>
        <v/>
      </c>
      <c r="H48" s="12">
        <f>F48/G48</f>
        <v/>
      </c>
      <c r="I48" s="6">
        <f>'02_Inputs'!G48</f>
        <v/>
      </c>
      <c r="J48" s="12">
        <f>H48*I48</f>
        <v/>
      </c>
      <c r="K48" s="6">
        <f>'02_Inputs'!H48</f>
        <v/>
      </c>
      <c r="L48" s="12">
        <f>J48*K48</f>
        <v/>
      </c>
      <c r="M48" s="12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1">
        <f>L48*1000*AA48*86400</f>
        <v/>
      </c>
      <c r="AC48" s="11">
        <f>AB48*365</f>
        <v/>
      </c>
    </row>
    <row r="49">
      <c r="A49" s="11">
        <f>'02_Inputs'!A49</f>
        <v/>
      </c>
      <c r="B49" s="11">
        <f>'02_Inputs'!B49</f>
        <v/>
      </c>
      <c r="C49" s="11">
        <f>'02_Inputs'!C49</f>
        <v/>
      </c>
      <c r="D49" s="12">
        <f>'02_Inputs'!D49</f>
        <v/>
      </c>
      <c r="E49" s="6">
        <f>'02_Inputs'!E49</f>
        <v/>
      </c>
      <c r="F49" s="12">
        <f>D49*E49</f>
        <v/>
      </c>
      <c r="G49" s="11">
        <f>'02_Inputs'!F49</f>
        <v/>
      </c>
      <c r="H49" s="12">
        <f>F49/G49</f>
        <v/>
      </c>
      <c r="I49" s="6">
        <f>'02_Inputs'!G49</f>
        <v/>
      </c>
      <c r="J49" s="12">
        <f>H49*I49</f>
        <v/>
      </c>
      <c r="K49" s="6">
        <f>'02_Inputs'!H49</f>
        <v/>
      </c>
      <c r="L49" s="12">
        <f>J49*K49</f>
        <v/>
      </c>
      <c r="M49" s="12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1">
        <f>L49*1000*AA49*86400</f>
        <v/>
      </c>
      <c r="AC49" s="11">
        <f>AB49*365</f>
        <v/>
      </c>
    </row>
    <row r="50">
      <c r="A50" s="11">
        <f>'02_Inputs'!A50</f>
        <v/>
      </c>
      <c r="B50" s="11">
        <f>'02_Inputs'!B50</f>
        <v/>
      </c>
      <c r="C50" s="11">
        <f>'02_Inputs'!C50</f>
        <v/>
      </c>
      <c r="D50" s="12">
        <f>'02_Inputs'!D50</f>
        <v/>
      </c>
      <c r="E50" s="6">
        <f>'02_Inputs'!E50</f>
        <v/>
      </c>
      <c r="F50" s="12">
        <f>D50*E50</f>
        <v/>
      </c>
      <c r="G50" s="11">
        <f>'02_Inputs'!F50</f>
        <v/>
      </c>
      <c r="H50" s="12">
        <f>F50/G50</f>
        <v/>
      </c>
      <c r="I50" s="6">
        <f>'02_Inputs'!G50</f>
        <v/>
      </c>
      <c r="J50" s="12">
        <f>H50*I50</f>
        <v/>
      </c>
      <c r="K50" s="6">
        <f>'02_Inputs'!H50</f>
        <v/>
      </c>
      <c r="L50" s="12">
        <f>J50*K50</f>
        <v/>
      </c>
      <c r="M50" s="12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1">
        <f>L50*1000*AA50*86400</f>
        <v/>
      </c>
      <c r="AC50" s="11">
        <f>AB50*365</f>
        <v/>
      </c>
    </row>
    <row r="51">
      <c r="A51" s="11">
        <f>'02_Inputs'!A51</f>
        <v/>
      </c>
      <c r="B51" s="11">
        <f>'02_Inputs'!B51</f>
        <v/>
      </c>
      <c r="C51" s="11">
        <f>'02_Inputs'!C51</f>
        <v/>
      </c>
      <c r="D51" s="12">
        <f>'02_Inputs'!D51</f>
        <v/>
      </c>
      <c r="E51" s="6">
        <f>'02_Inputs'!E51</f>
        <v/>
      </c>
      <c r="F51" s="12">
        <f>D51*E51</f>
        <v/>
      </c>
      <c r="G51" s="11">
        <f>'02_Inputs'!F51</f>
        <v/>
      </c>
      <c r="H51" s="12">
        <f>F51/G51</f>
        <v/>
      </c>
      <c r="I51" s="6">
        <f>'02_Inputs'!G51</f>
        <v/>
      </c>
      <c r="J51" s="12">
        <f>H51*I51</f>
        <v/>
      </c>
      <c r="K51" s="6">
        <f>'02_Inputs'!H51</f>
        <v/>
      </c>
      <c r="L51" s="12">
        <f>J51*K51</f>
        <v/>
      </c>
      <c r="M51" s="12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1">
        <f>L51*1000*AA51*86400</f>
        <v/>
      </c>
      <c r="AC51" s="11">
        <f>AB51*365</f>
        <v/>
      </c>
    </row>
    <row r="52">
      <c r="A52" s="11">
        <f>'02_Inputs'!A52</f>
        <v/>
      </c>
      <c r="B52" s="11">
        <f>'02_Inputs'!B52</f>
        <v/>
      </c>
      <c r="C52" s="11">
        <f>'02_Inputs'!C52</f>
        <v/>
      </c>
      <c r="D52" s="12">
        <f>'02_Inputs'!D52</f>
        <v/>
      </c>
      <c r="E52" s="6">
        <f>'02_Inputs'!E52</f>
        <v/>
      </c>
      <c r="F52" s="12">
        <f>D52*E52</f>
        <v/>
      </c>
      <c r="G52" s="11">
        <f>'02_Inputs'!F52</f>
        <v/>
      </c>
      <c r="H52" s="12">
        <f>F52/G52</f>
        <v/>
      </c>
      <c r="I52" s="6">
        <f>'02_Inputs'!G52</f>
        <v/>
      </c>
      <c r="J52" s="12">
        <f>H52*I52</f>
        <v/>
      </c>
      <c r="K52" s="6">
        <f>'02_Inputs'!H52</f>
        <v/>
      </c>
      <c r="L52" s="12">
        <f>J52*K52</f>
        <v/>
      </c>
      <c r="M52" s="12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1">
        <f>L52*1000*AA52*86400</f>
        <v/>
      </c>
      <c r="AC52" s="11">
        <f>AB52*365</f>
        <v/>
      </c>
    </row>
    <row r="53">
      <c r="A53" s="11">
        <f>'02_Inputs'!A53</f>
        <v/>
      </c>
      <c r="B53" s="11">
        <f>'02_Inputs'!B53</f>
        <v/>
      </c>
      <c r="C53" s="11">
        <f>'02_Inputs'!C53</f>
        <v/>
      </c>
      <c r="D53" s="12">
        <f>'02_Inputs'!D53</f>
        <v/>
      </c>
      <c r="E53" s="6">
        <f>'02_Inputs'!E53</f>
        <v/>
      </c>
      <c r="F53" s="12">
        <f>D53*E53</f>
        <v/>
      </c>
      <c r="G53" s="11">
        <f>'02_Inputs'!F53</f>
        <v/>
      </c>
      <c r="H53" s="12">
        <f>F53/G53</f>
        <v/>
      </c>
      <c r="I53" s="6">
        <f>'02_Inputs'!G53</f>
        <v/>
      </c>
      <c r="J53" s="12">
        <f>H53*I53</f>
        <v/>
      </c>
      <c r="K53" s="6">
        <f>'02_Inputs'!H53</f>
        <v/>
      </c>
      <c r="L53" s="12">
        <f>J53*K53</f>
        <v/>
      </c>
      <c r="M53" s="12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1">
        <f>L53*1000*AA53*86400</f>
        <v/>
      </c>
      <c r="AC53" s="11">
        <f>AB53*365</f>
        <v/>
      </c>
    </row>
    <row r="54">
      <c r="A54" s="11">
        <f>'02_Inputs'!A54</f>
        <v/>
      </c>
      <c r="B54" s="11">
        <f>'02_Inputs'!B54</f>
        <v/>
      </c>
      <c r="C54" s="11">
        <f>'02_Inputs'!C54</f>
        <v/>
      </c>
      <c r="D54" s="12">
        <f>'02_Inputs'!D54</f>
        <v/>
      </c>
      <c r="E54" s="6">
        <f>'02_Inputs'!E54</f>
        <v/>
      </c>
      <c r="F54" s="12">
        <f>D54*E54</f>
        <v/>
      </c>
      <c r="G54" s="11">
        <f>'02_Inputs'!F54</f>
        <v/>
      </c>
      <c r="H54" s="12">
        <f>F54/G54</f>
        <v/>
      </c>
      <c r="I54" s="6">
        <f>'02_Inputs'!G54</f>
        <v/>
      </c>
      <c r="J54" s="12">
        <f>H54*I54</f>
        <v/>
      </c>
      <c r="K54" s="6">
        <f>'02_Inputs'!H54</f>
        <v/>
      </c>
      <c r="L54" s="12">
        <f>J54*K54</f>
        <v/>
      </c>
      <c r="M54" s="12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1">
        <f>L54*1000*AA54*86400</f>
        <v/>
      </c>
      <c r="AC54" s="11">
        <f>AB54*365</f>
        <v/>
      </c>
    </row>
    <row r="55">
      <c r="A55" s="11">
        <f>'02_Inputs'!A55</f>
        <v/>
      </c>
      <c r="B55" s="11">
        <f>'02_Inputs'!B55</f>
        <v/>
      </c>
      <c r="C55" s="11">
        <f>'02_Inputs'!C55</f>
        <v/>
      </c>
      <c r="D55" s="12">
        <f>'02_Inputs'!D55</f>
        <v/>
      </c>
      <c r="E55" s="6">
        <f>'02_Inputs'!E55</f>
        <v/>
      </c>
      <c r="F55" s="12">
        <f>D55*E55</f>
        <v/>
      </c>
      <c r="G55" s="11">
        <f>'02_Inputs'!F55</f>
        <v/>
      </c>
      <c r="H55" s="12">
        <f>F55/G55</f>
        <v/>
      </c>
      <c r="I55" s="6">
        <f>'02_Inputs'!G55</f>
        <v/>
      </c>
      <c r="J55" s="12">
        <f>H55*I55</f>
        <v/>
      </c>
      <c r="K55" s="6">
        <f>'02_Inputs'!H55</f>
        <v/>
      </c>
      <c r="L55" s="12">
        <f>J55*K55</f>
        <v/>
      </c>
      <c r="M55" s="12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1">
        <f>L55*1000*AA55*86400</f>
        <v/>
      </c>
      <c r="AC55" s="11">
        <f>AB55*365</f>
        <v/>
      </c>
    </row>
    <row r="56">
      <c r="A56" s="11">
        <f>'02_Inputs'!A56</f>
        <v/>
      </c>
      <c r="B56" s="11">
        <f>'02_Inputs'!B56</f>
        <v/>
      </c>
      <c r="C56" s="11">
        <f>'02_Inputs'!C56</f>
        <v/>
      </c>
      <c r="D56" s="12">
        <f>'02_Inputs'!D56</f>
        <v/>
      </c>
      <c r="E56" s="6">
        <f>'02_Inputs'!E56</f>
        <v/>
      </c>
      <c r="F56" s="12">
        <f>D56*E56</f>
        <v/>
      </c>
      <c r="G56" s="11">
        <f>'02_Inputs'!F56</f>
        <v/>
      </c>
      <c r="H56" s="12">
        <f>F56/G56</f>
        <v/>
      </c>
      <c r="I56" s="6">
        <f>'02_Inputs'!G56</f>
        <v/>
      </c>
      <c r="J56" s="12">
        <f>H56*I56</f>
        <v/>
      </c>
      <c r="K56" s="6">
        <f>'02_Inputs'!H56</f>
        <v/>
      </c>
      <c r="L56" s="12">
        <f>J56*K56</f>
        <v/>
      </c>
      <c r="M56" s="12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1">
        <f>L56*1000*AA56*86400</f>
        <v/>
      </c>
      <c r="AC56" s="11">
        <f>AB56*365</f>
        <v/>
      </c>
    </row>
    <row r="57">
      <c r="A57" s="11">
        <f>'02_Inputs'!A57</f>
        <v/>
      </c>
      <c r="B57" s="11">
        <f>'02_Inputs'!B57</f>
        <v/>
      </c>
      <c r="C57" s="11">
        <f>'02_Inputs'!C57</f>
        <v/>
      </c>
      <c r="D57" s="12">
        <f>'02_Inputs'!D57</f>
        <v/>
      </c>
      <c r="E57" s="6">
        <f>'02_Inputs'!E57</f>
        <v/>
      </c>
      <c r="F57" s="12">
        <f>D57*E57</f>
        <v/>
      </c>
      <c r="G57" s="11">
        <f>'02_Inputs'!F57</f>
        <v/>
      </c>
      <c r="H57" s="12">
        <f>F57/G57</f>
        <v/>
      </c>
      <c r="I57" s="6">
        <f>'02_Inputs'!G57</f>
        <v/>
      </c>
      <c r="J57" s="12">
        <f>H57*I57</f>
        <v/>
      </c>
      <c r="K57" s="6">
        <f>'02_Inputs'!H57</f>
        <v/>
      </c>
      <c r="L57" s="12">
        <f>J57*K57</f>
        <v/>
      </c>
      <c r="M57" s="12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1">
        <f>L57*1000*AA57*86400</f>
        <v/>
      </c>
      <c r="AC57" s="11">
        <f>AB57*365</f>
        <v/>
      </c>
    </row>
    <row r="58">
      <c r="A58" s="11">
        <f>'02_Inputs'!A58</f>
        <v/>
      </c>
      <c r="B58" s="11">
        <f>'02_Inputs'!B58</f>
        <v/>
      </c>
      <c r="C58" s="11">
        <f>'02_Inputs'!C58</f>
        <v/>
      </c>
      <c r="D58" s="12">
        <f>'02_Inputs'!D58</f>
        <v/>
      </c>
      <c r="E58" s="6">
        <f>'02_Inputs'!E58</f>
        <v/>
      </c>
      <c r="F58" s="12">
        <f>D58*E58</f>
        <v/>
      </c>
      <c r="G58" s="11">
        <f>'02_Inputs'!F58</f>
        <v/>
      </c>
      <c r="H58" s="12">
        <f>F58/G58</f>
        <v/>
      </c>
      <c r="I58" s="6">
        <f>'02_Inputs'!G58</f>
        <v/>
      </c>
      <c r="J58" s="12">
        <f>H58*I58</f>
        <v/>
      </c>
      <c r="K58" s="6">
        <f>'02_Inputs'!H58</f>
        <v/>
      </c>
      <c r="L58" s="12">
        <f>J58*K58</f>
        <v/>
      </c>
      <c r="M58" s="12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1">
        <f>L58*1000*AA58*86400</f>
        <v/>
      </c>
      <c r="AC58" s="11">
        <f>AB58*365</f>
        <v/>
      </c>
    </row>
    <row r="59">
      <c r="A59" s="11">
        <f>'02_Inputs'!A59</f>
        <v/>
      </c>
      <c r="B59" s="11">
        <f>'02_Inputs'!B59</f>
        <v/>
      </c>
      <c r="C59" s="11">
        <f>'02_Inputs'!C59</f>
        <v/>
      </c>
      <c r="D59" s="12">
        <f>'02_Inputs'!D59</f>
        <v/>
      </c>
      <c r="E59" s="6">
        <f>'02_Inputs'!E59</f>
        <v/>
      </c>
      <c r="F59" s="12">
        <f>D59*E59</f>
        <v/>
      </c>
      <c r="G59" s="11">
        <f>'02_Inputs'!F59</f>
        <v/>
      </c>
      <c r="H59" s="12">
        <f>F59/G59</f>
        <v/>
      </c>
      <c r="I59" s="6">
        <f>'02_Inputs'!G59</f>
        <v/>
      </c>
      <c r="J59" s="12">
        <f>H59*I59</f>
        <v/>
      </c>
      <c r="K59" s="6">
        <f>'02_Inputs'!H59</f>
        <v/>
      </c>
      <c r="L59" s="12">
        <f>J59*K59</f>
        <v/>
      </c>
      <c r="M59" s="12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1">
        <f>L59*1000*AA59*86400</f>
        <v/>
      </c>
      <c r="AC59" s="11">
        <f>AB59*365</f>
        <v/>
      </c>
    </row>
    <row r="60">
      <c r="A60" s="11">
        <f>'02_Inputs'!A60</f>
        <v/>
      </c>
      <c r="B60" s="11">
        <f>'02_Inputs'!B60</f>
        <v/>
      </c>
      <c r="C60" s="11">
        <f>'02_Inputs'!C60</f>
        <v/>
      </c>
      <c r="D60" s="12">
        <f>'02_Inputs'!D60</f>
        <v/>
      </c>
      <c r="E60" s="6">
        <f>'02_Inputs'!E60</f>
        <v/>
      </c>
      <c r="F60" s="12">
        <f>D60*E60</f>
        <v/>
      </c>
      <c r="G60" s="11">
        <f>'02_Inputs'!F60</f>
        <v/>
      </c>
      <c r="H60" s="12">
        <f>F60/G60</f>
        <v/>
      </c>
      <c r="I60" s="6">
        <f>'02_Inputs'!G60</f>
        <v/>
      </c>
      <c r="J60" s="12">
        <f>H60*I60</f>
        <v/>
      </c>
      <c r="K60" s="6">
        <f>'02_Inputs'!H60</f>
        <v/>
      </c>
      <c r="L60" s="12">
        <f>J60*K60</f>
        <v/>
      </c>
      <c r="M60" s="12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1">
        <f>L60*1000*AA60*86400</f>
        <v/>
      </c>
      <c r="AC60" s="11">
        <f>AB60*365</f>
        <v/>
      </c>
    </row>
    <row r="61">
      <c r="A61" s="11">
        <f>'02_Inputs'!A61</f>
        <v/>
      </c>
      <c r="B61" s="11">
        <f>'02_Inputs'!B61</f>
        <v/>
      </c>
      <c r="C61" s="11">
        <f>'02_Inputs'!C61</f>
        <v/>
      </c>
      <c r="D61" s="12">
        <f>'02_Inputs'!D61</f>
        <v/>
      </c>
      <c r="E61" s="6">
        <f>'02_Inputs'!E61</f>
        <v/>
      </c>
      <c r="F61" s="12">
        <f>D61*E61</f>
        <v/>
      </c>
      <c r="G61" s="11">
        <f>'02_Inputs'!F61</f>
        <v/>
      </c>
      <c r="H61" s="12">
        <f>F61/G61</f>
        <v/>
      </c>
      <c r="I61" s="6">
        <f>'02_Inputs'!G61</f>
        <v/>
      </c>
      <c r="J61" s="12">
        <f>H61*I61</f>
        <v/>
      </c>
      <c r="K61" s="6">
        <f>'02_Inputs'!H61</f>
        <v/>
      </c>
      <c r="L61" s="12">
        <f>J61*K61</f>
        <v/>
      </c>
      <c r="M61" s="12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1">
        <f>L61*1000*AA61*86400</f>
        <v/>
      </c>
      <c r="AC61" s="11">
        <f>AB61*365</f>
        <v/>
      </c>
    </row>
    <row r="62">
      <c r="A62" s="11">
        <f>'02_Inputs'!A62</f>
        <v/>
      </c>
      <c r="B62" s="11">
        <f>'02_Inputs'!B62</f>
        <v/>
      </c>
      <c r="C62" s="11">
        <f>'02_Inputs'!C62</f>
        <v/>
      </c>
      <c r="D62" s="12">
        <f>'02_Inputs'!D62</f>
        <v/>
      </c>
      <c r="E62" s="6">
        <f>'02_Inputs'!E62</f>
        <v/>
      </c>
      <c r="F62" s="12">
        <f>D62*E62</f>
        <v/>
      </c>
      <c r="G62" s="11">
        <f>'02_Inputs'!F62</f>
        <v/>
      </c>
      <c r="H62" s="12">
        <f>F62/G62</f>
        <v/>
      </c>
      <c r="I62" s="6">
        <f>'02_Inputs'!G62</f>
        <v/>
      </c>
      <c r="J62" s="12">
        <f>H62*I62</f>
        <v/>
      </c>
      <c r="K62" s="6">
        <f>'02_Inputs'!H62</f>
        <v/>
      </c>
      <c r="L62" s="12">
        <f>J62*K62</f>
        <v/>
      </c>
      <c r="M62" s="12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1">
        <f>L62*1000*AA62*86400</f>
        <v/>
      </c>
      <c r="AC62" s="11">
        <f>AB62*365</f>
        <v/>
      </c>
    </row>
    <row r="63">
      <c r="A63" s="11">
        <f>'02_Inputs'!A63</f>
        <v/>
      </c>
      <c r="B63" s="11">
        <f>'02_Inputs'!B63</f>
        <v/>
      </c>
      <c r="C63" s="11">
        <f>'02_Inputs'!C63</f>
        <v/>
      </c>
      <c r="D63" s="12">
        <f>'02_Inputs'!D63</f>
        <v/>
      </c>
      <c r="E63" s="6">
        <f>'02_Inputs'!E63</f>
        <v/>
      </c>
      <c r="F63" s="12">
        <f>D63*E63</f>
        <v/>
      </c>
      <c r="G63" s="11">
        <f>'02_Inputs'!F63</f>
        <v/>
      </c>
      <c r="H63" s="12">
        <f>F63/G63</f>
        <v/>
      </c>
      <c r="I63" s="6">
        <f>'02_Inputs'!G63</f>
        <v/>
      </c>
      <c r="J63" s="12">
        <f>H63*I63</f>
        <v/>
      </c>
      <c r="K63" s="6">
        <f>'02_Inputs'!H63</f>
        <v/>
      </c>
      <c r="L63" s="12">
        <f>J63*K63</f>
        <v/>
      </c>
      <c r="M63" s="12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1">
        <f>L63*1000*AA63*86400</f>
        <v/>
      </c>
      <c r="AC63" s="11">
        <f>AB63*365</f>
        <v/>
      </c>
    </row>
    <row r="64">
      <c r="A64" s="11">
        <f>'02_Inputs'!A64</f>
        <v/>
      </c>
      <c r="B64" s="11">
        <f>'02_Inputs'!B64</f>
        <v/>
      </c>
      <c r="C64" s="11">
        <f>'02_Inputs'!C64</f>
        <v/>
      </c>
      <c r="D64" s="12">
        <f>'02_Inputs'!D64</f>
        <v/>
      </c>
      <c r="E64" s="6">
        <f>'02_Inputs'!E64</f>
        <v/>
      </c>
      <c r="F64" s="12">
        <f>D64*E64</f>
        <v/>
      </c>
      <c r="G64" s="11">
        <f>'02_Inputs'!F64</f>
        <v/>
      </c>
      <c r="H64" s="12">
        <f>F64/G64</f>
        <v/>
      </c>
      <c r="I64" s="6">
        <f>'02_Inputs'!G64</f>
        <v/>
      </c>
      <c r="J64" s="12">
        <f>H64*I64</f>
        <v/>
      </c>
      <c r="K64" s="6">
        <f>'02_Inputs'!H64</f>
        <v/>
      </c>
      <c r="L64" s="12">
        <f>J64*K64</f>
        <v/>
      </c>
      <c r="M64" s="12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1">
        <f>L64*1000*AA64*86400</f>
        <v/>
      </c>
      <c r="AC64" s="11">
        <f>AB64*365</f>
        <v/>
      </c>
    </row>
    <row r="65">
      <c r="A65" s="11">
        <f>'02_Inputs'!A65</f>
        <v/>
      </c>
      <c r="B65" s="11">
        <f>'02_Inputs'!B65</f>
        <v/>
      </c>
      <c r="C65" s="11">
        <f>'02_Inputs'!C65</f>
        <v/>
      </c>
      <c r="D65" s="12">
        <f>'02_Inputs'!D65</f>
        <v/>
      </c>
      <c r="E65" s="6">
        <f>'02_Inputs'!E65</f>
        <v/>
      </c>
      <c r="F65" s="12">
        <f>D65*E65</f>
        <v/>
      </c>
      <c r="G65" s="11">
        <f>'02_Inputs'!F65</f>
        <v/>
      </c>
      <c r="H65" s="12">
        <f>F65/G65</f>
        <v/>
      </c>
      <c r="I65" s="6">
        <f>'02_Inputs'!G65</f>
        <v/>
      </c>
      <c r="J65" s="12">
        <f>H65*I65</f>
        <v/>
      </c>
      <c r="K65" s="6">
        <f>'02_Inputs'!H65</f>
        <v/>
      </c>
      <c r="L65" s="12">
        <f>J65*K65</f>
        <v/>
      </c>
      <c r="M65" s="12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1">
        <f>L65*1000*AA65*86400</f>
        <v/>
      </c>
      <c r="AC65" s="11">
        <f>AB65*365</f>
        <v/>
      </c>
    </row>
    <row r="66">
      <c r="A66" s="11">
        <f>'02_Inputs'!A66</f>
        <v/>
      </c>
      <c r="B66" s="11">
        <f>'02_Inputs'!B66</f>
        <v/>
      </c>
      <c r="C66" s="11">
        <f>'02_Inputs'!C66</f>
        <v/>
      </c>
      <c r="D66" s="12">
        <f>'02_Inputs'!D66</f>
        <v/>
      </c>
      <c r="E66" s="6">
        <f>'02_Inputs'!E66</f>
        <v/>
      </c>
      <c r="F66" s="12">
        <f>D66*E66</f>
        <v/>
      </c>
      <c r="G66" s="11">
        <f>'02_Inputs'!F66</f>
        <v/>
      </c>
      <c r="H66" s="12">
        <f>F66/G66</f>
        <v/>
      </c>
      <c r="I66" s="6">
        <f>'02_Inputs'!G66</f>
        <v/>
      </c>
      <c r="J66" s="12">
        <f>H66*I66</f>
        <v/>
      </c>
      <c r="K66" s="6">
        <f>'02_Inputs'!H66</f>
        <v/>
      </c>
      <c r="L66" s="12">
        <f>J66*K66</f>
        <v/>
      </c>
      <c r="M66" s="12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1">
        <f>L66*1000*AA66*86400</f>
        <v/>
      </c>
      <c r="AC66" s="11">
        <f>AB66*365</f>
        <v/>
      </c>
    </row>
    <row r="67">
      <c r="A67" s="11">
        <f>'02_Inputs'!A67</f>
        <v/>
      </c>
      <c r="B67" s="11">
        <f>'02_Inputs'!B67</f>
        <v/>
      </c>
      <c r="C67" s="11">
        <f>'02_Inputs'!C67</f>
        <v/>
      </c>
      <c r="D67" s="12">
        <f>'02_Inputs'!D67</f>
        <v/>
      </c>
      <c r="E67" s="6">
        <f>'02_Inputs'!E67</f>
        <v/>
      </c>
      <c r="F67" s="12">
        <f>D67*E67</f>
        <v/>
      </c>
      <c r="G67" s="11">
        <f>'02_Inputs'!F67</f>
        <v/>
      </c>
      <c r="H67" s="12">
        <f>F67/G67</f>
        <v/>
      </c>
      <c r="I67" s="6">
        <f>'02_Inputs'!G67</f>
        <v/>
      </c>
      <c r="J67" s="12">
        <f>H67*I67</f>
        <v/>
      </c>
      <c r="K67" s="6">
        <f>'02_Inputs'!H67</f>
        <v/>
      </c>
      <c r="L67" s="12">
        <f>J67*K67</f>
        <v/>
      </c>
      <c r="M67" s="12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1">
        <f>L67*1000*AA67*86400</f>
        <v/>
      </c>
      <c r="AC67" s="11">
        <f>AB67*365</f>
        <v/>
      </c>
    </row>
    <row r="68">
      <c r="A68" s="11">
        <f>'02_Inputs'!A68</f>
        <v/>
      </c>
      <c r="B68" s="11">
        <f>'02_Inputs'!B68</f>
        <v/>
      </c>
      <c r="C68" s="11">
        <f>'02_Inputs'!C68</f>
        <v/>
      </c>
      <c r="D68" s="12">
        <f>'02_Inputs'!D68</f>
        <v/>
      </c>
      <c r="E68" s="6">
        <f>'02_Inputs'!E68</f>
        <v/>
      </c>
      <c r="F68" s="12">
        <f>D68*E68</f>
        <v/>
      </c>
      <c r="G68" s="11">
        <f>'02_Inputs'!F68</f>
        <v/>
      </c>
      <c r="H68" s="12">
        <f>F68/G68</f>
        <v/>
      </c>
      <c r="I68" s="6">
        <f>'02_Inputs'!G68</f>
        <v/>
      </c>
      <c r="J68" s="12">
        <f>H68*I68</f>
        <v/>
      </c>
      <c r="K68" s="6">
        <f>'02_Inputs'!H68</f>
        <v/>
      </c>
      <c r="L68" s="12">
        <f>J68*K68</f>
        <v/>
      </c>
      <c r="M68" s="12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1">
        <f>L68*1000*AA68*86400</f>
        <v/>
      </c>
      <c r="AC68" s="11">
        <f>AB68*365</f>
        <v/>
      </c>
    </row>
    <row r="69">
      <c r="A69" s="11">
        <f>'02_Inputs'!A69</f>
        <v/>
      </c>
      <c r="B69" s="11">
        <f>'02_Inputs'!B69</f>
        <v/>
      </c>
      <c r="C69" s="11">
        <f>'02_Inputs'!C69</f>
        <v/>
      </c>
      <c r="D69" s="12">
        <f>'02_Inputs'!D69</f>
        <v/>
      </c>
      <c r="E69" s="6">
        <f>'02_Inputs'!E69</f>
        <v/>
      </c>
      <c r="F69" s="12">
        <f>D69*E69</f>
        <v/>
      </c>
      <c r="G69" s="11">
        <f>'02_Inputs'!F69</f>
        <v/>
      </c>
      <c r="H69" s="12">
        <f>F69/G69</f>
        <v/>
      </c>
      <c r="I69" s="6">
        <f>'02_Inputs'!G69</f>
        <v/>
      </c>
      <c r="J69" s="12">
        <f>H69*I69</f>
        <v/>
      </c>
      <c r="K69" s="6">
        <f>'02_Inputs'!H69</f>
        <v/>
      </c>
      <c r="L69" s="12">
        <f>J69*K69</f>
        <v/>
      </c>
      <c r="M69" s="12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1">
        <f>L69*1000*AA69*86400</f>
        <v/>
      </c>
      <c r="AC69" s="11">
        <f>AB69*365</f>
        <v/>
      </c>
    </row>
    <row r="70">
      <c r="A70" s="11">
        <f>'02_Inputs'!A70</f>
        <v/>
      </c>
      <c r="B70" s="11">
        <f>'02_Inputs'!B70</f>
        <v/>
      </c>
      <c r="C70" s="11">
        <f>'02_Inputs'!C70</f>
        <v/>
      </c>
      <c r="D70" s="12">
        <f>'02_Inputs'!D70</f>
        <v/>
      </c>
      <c r="E70" s="6">
        <f>'02_Inputs'!E70</f>
        <v/>
      </c>
      <c r="F70" s="12">
        <f>D70*E70</f>
        <v/>
      </c>
      <c r="G70" s="11">
        <f>'02_Inputs'!F70</f>
        <v/>
      </c>
      <c r="H70" s="12">
        <f>F70/G70</f>
        <v/>
      </c>
      <c r="I70" s="6">
        <f>'02_Inputs'!G70</f>
        <v/>
      </c>
      <c r="J70" s="12">
        <f>H70*I70</f>
        <v/>
      </c>
      <c r="K70" s="6">
        <f>'02_Inputs'!H70</f>
        <v/>
      </c>
      <c r="L70" s="12">
        <f>J70*K70</f>
        <v/>
      </c>
      <c r="M70" s="12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1">
        <f>L70*1000*AA70*86400</f>
        <v/>
      </c>
      <c r="AC70" s="11">
        <f>AB70*365</f>
        <v/>
      </c>
    </row>
    <row r="71">
      <c r="A71" s="11">
        <f>'02_Inputs'!A71</f>
        <v/>
      </c>
      <c r="B71" s="11">
        <f>'02_Inputs'!B71</f>
        <v/>
      </c>
      <c r="C71" s="11">
        <f>'02_Inputs'!C71</f>
        <v/>
      </c>
      <c r="D71" s="12">
        <f>'02_Inputs'!D71</f>
        <v/>
      </c>
      <c r="E71" s="6">
        <f>'02_Inputs'!E71</f>
        <v/>
      </c>
      <c r="F71" s="12">
        <f>D71*E71</f>
        <v/>
      </c>
      <c r="G71" s="11">
        <f>'02_Inputs'!F71</f>
        <v/>
      </c>
      <c r="H71" s="12">
        <f>F71/G71</f>
        <v/>
      </c>
      <c r="I71" s="6">
        <f>'02_Inputs'!G71</f>
        <v/>
      </c>
      <c r="J71" s="12">
        <f>H71*I71</f>
        <v/>
      </c>
      <c r="K71" s="6">
        <f>'02_Inputs'!H71</f>
        <v/>
      </c>
      <c r="L71" s="12">
        <f>J71*K71</f>
        <v/>
      </c>
      <c r="M71" s="12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1">
        <f>L71*1000*AA71*86400</f>
        <v/>
      </c>
      <c r="AC71" s="11">
        <f>AB71*365</f>
        <v/>
      </c>
    </row>
    <row r="72">
      <c r="A72" s="11">
        <f>'02_Inputs'!A72</f>
        <v/>
      </c>
      <c r="B72" s="11">
        <f>'02_Inputs'!B72</f>
        <v/>
      </c>
      <c r="C72" s="11">
        <f>'02_Inputs'!C72</f>
        <v/>
      </c>
      <c r="D72" s="12">
        <f>'02_Inputs'!D72</f>
        <v/>
      </c>
      <c r="E72" s="6">
        <f>'02_Inputs'!E72</f>
        <v/>
      </c>
      <c r="F72" s="12">
        <f>D72*E72</f>
        <v/>
      </c>
      <c r="G72" s="11">
        <f>'02_Inputs'!F72</f>
        <v/>
      </c>
      <c r="H72" s="12">
        <f>F72/G72</f>
        <v/>
      </c>
      <c r="I72" s="6">
        <f>'02_Inputs'!G72</f>
        <v/>
      </c>
      <c r="J72" s="12">
        <f>H72*I72</f>
        <v/>
      </c>
      <c r="K72" s="6">
        <f>'02_Inputs'!H72</f>
        <v/>
      </c>
      <c r="L72" s="12">
        <f>J72*K72</f>
        <v/>
      </c>
      <c r="M72" s="12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1">
        <f>L72*1000*AA72*86400</f>
        <v/>
      </c>
      <c r="AC72" s="11">
        <f>AB72*365</f>
        <v/>
      </c>
    </row>
    <row r="73">
      <c r="A73" s="11">
        <f>'02_Inputs'!A73</f>
        <v/>
      </c>
      <c r="B73" s="11">
        <f>'02_Inputs'!B73</f>
        <v/>
      </c>
      <c r="C73" s="11">
        <f>'02_Inputs'!C73</f>
        <v/>
      </c>
      <c r="D73" s="12">
        <f>'02_Inputs'!D73</f>
        <v/>
      </c>
      <c r="E73" s="6">
        <f>'02_Inputs'!E73</f>
        <v/>
      </c>
      <c r="F73" s="12">
        <f>D73*E73</f>
        <v/>
      </c>
      <c r="G73" s="11">
        <f>'02_Inputs'!F73</f>
        <v/>
      </c>
      <c r="H73" s="12">
        <f>F73/G73</f>
        <v/>
      </c>
      <c r="I73" s="6">
        <f>'02_Inputs'!G73</f>
        <v/>
      </c>
      <c r="J73" s="12">
        <f>H73*I73</f>
        <v/>
      </c>
      <c r="K73" s="6">
        <f>'02_Inputs'!H73</f>
        <v/>
      </c>
      <c r="L73" s="12">
        <f>J73*K73</f>
        <v/>
      </c>
      <c r="M73" s="12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1">
        <f>L73*1000*AA73*86400</f>
        <v/>
      </c>
      <c r="AC73" s="11">
        <f>AB73*365</f>
        <v/>
      </c>
    </row>
    <row r="74">
      <c r="A74" s="11">
        <f>'02_Inputs'!A74</f>
        <v/>
      </c>
      <c r="B74" s="11">
        <f>'02_Inputs'!B74</f>
        <v/>
      </c>
      <c r="C74" s="11">
        <f>'02_Inputs'!C74</f>
        <v/>
      </c>
      <c r="D74" s="12">
        <f>'02_Inputs'!D74</f>
        <v/>
      </c>
      <c r="E74" s="6">
        <f>'02_Inputs'!E74</f>
        <v/>
      </c>
      <c r="F74" s="12">
        <f>D74*E74</f>
        <v/>
      </c>
      <c r="G74" s="11">
        <f>'02_Inputs'!F74</f>
        <v/>
      </c>
      <c r="H74" s="12">
        <f>F74/G74</f>
        <v/>
      </c>
      <c r="I74" s="6">
        <f>'02_Inputs'!G74</f>
        <v/>
      </c>
      <c r="J74" s="12">
        <f>H74*I74</f>
        <v/>
      </c>
      <c r="K74" s="6">
        <f>'02_Inputs'!H74</f>
        <v/>
      </c>
      <c r="L74" s="12">
        <f>J74*K74</f>
        <v/>
      </c>
      <c r="M74" s="12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1">
        <f>L74*1000*AA74*86400</f>
        <v/>
      </c>
      <c r="AC74" s="11">
        <f>AB74*365</f>
        <v/>
      </c>
    </row>
    <row r="75">
      <c r="A75" s="11">
        <f>'02_Inputs'!A75</f>
        <v/>
      </c>
      <c r="B75" s="11">
        <f>'02_Inputs'!B75</f>
        <v/>
      </c>
      <c r="C75" s="11">
        <f>'02_Inputs'!C75</f>
        <v/>
      </c>
      <c r="D75" s="12">
        <f>'02_Inputs'!D75</f>
        <v/>
      </c>
      <c r="E75" s="6">
        <f>'02_Inputs'!E75</f>
        <v/>
      </c>
      <c r="F75" s="12">
        <f>D75*E75</f>
        <v/>
      </c>
      <c r="G75" s="11">
        <f>'02_Inputs'!F75</f>
        <v/>
      </c>
      <c r="H75" s="12">
        <f>F75/G75</f>
        <v/>
      </c>
      <c r="I75" s="6">
        <f>'02_Inputs'!G75</f>
        <v/>
      </c>
      <c r="J75" s="12">
        <f>H75*I75</f>
        <v/>
      </c>
      <c r="K75" s="6">
        <f>'02_Inputs'!H75</f>
        <v/>
      </c>
      <c r="L75" s="12">
        <f>J75*K75</f>
        <v/>
      </c>
      <c r="M75" s="12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1">
        <f>L75*1000*AA75*86400</f>
        <v/>
      </c>
      <c r="AC75" s="11">
        <f>AB75*365</f>
        <v/>
      </c>
    </row>
    <row r="76">
      <c r="A76" s="11">
        <f>'02_Inputs'!A76</f>
        <v/>
      </c>
      <c r="B76" s="11">
        <f>'02_Inputs'!B76</f>
        <v/>
      </c>
      <c r="C76" s="11">
        <f>'02_Inputs'!C76</f>
        <v/>
      </c>
      <c r="D76" s="12">
        <f>'02_Inputs'!D76</f>
        <v/>
      </c>
      <c r="E76" s="6">
        <f>'02_Inputs'!E76</f>
        <v/>
      </c>
      <c r="F76" s="12">
        <f>D76*E76</f>
        <v/>
      </c>
      <c r="G76" s="11">
        <f>'02_Inputs'!F76</f>
        <v/>
      </c>
      <c r="H76" s="12">
        <f>F76/G76</f>
        <v/>
      </c>
      <c r="I76" s="6">
        <f>'02_Inputs'!G76</f>
        <v/>
      </c>
      <c r="J76" s="12">
        <f>H76*I76</f>
        <v/>
      </c>
      <c r="K76" s="6">
        <f>'02_Inputs'!H76</f>
        <v/>
      </c>
      <c r="L76" s="12">
        <f>J76*K76</f>
        <v/>
      </c>
      <c r="M76" s="12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1">
        <f>L76*1000*AA76*86400</f>
        <v/>
      </c>
      <c r="AC76" s="11">
        <f>AB76*365</f>
        <v/>
      </c>
    </row>
    <row r="77">
      <c r="A77" s="11">
        <f>'02_Inputs'!A77</f>
        <v/>
      </c>
      <c r="B77" s="11">
        <f>'02_Inputs'!B77</f>
        <v/>
      </c>
      <c r="C77" s="11">
        <f>'02_Inputs'!C77</f>
        <v/>
      </c>
      <c r="D77" s="12">
        <f>'02_Inputs'!D77</f>
        <v/>
      </c>
      <c r="E77" s="6">
        <f>'02_Inputs'!E77</f>
        <v/>
      </c>
      <c r="F77" s="12">
        <f>D77*E77</f>
        <v/>
      </c>
      <c r="G77" s="11">
        <f>'02_Inputs'!F77</f>
        <v/>
      </c>
      <c r="H77" s="12">
        <f>F77/G77</f>
        <v/>
      </c>
      <c r="I77" s="6">
        <f>'02_Inputs'!G77</f>
        <v/>
      </c>
      <c r="J77" s="12">
        <f>H77*I77</f>
        <v/>
      </c>
      <c r="K77" s="6">
        <f>'02_Inputs'!H77</f>
        <v/>
      </c>
      <c r="L77" s="12">
        <f>J77*K77</f>
        <v/>
      </c>
      <c r="M77" s="12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1">
        <f>L77*1000*AA77*86400</f>
        <v/>
      </c>
      <c r="AC77" s="11">
        <f>AB77*365</f>
        <v/>
      </c>
    </row>
    <row r="78">
      <c r="A78" s="11">
        <f>'02_Inputs'!A78</f>
        <v/>
      </c>
      <c r="B78" s="11">
        <f>'02_Inputs'!B78</f>
        <v/>
      </c>
      <c r="C78" s="11">
        <f>'02_Inputs'!C78</f>
        <v/>
      </c>
      <c r="D78" s="12">
        <f>'02_Inputs'!D78</f>
        <v/>
      </c>
      <c r="E78" s="6">
        <f>'02_Inputs'!E78</f>
        <v/>
      </c>
      <c r="F78" s="12">
        <f>D78*E78</f>
        <v/>
      </c>
      <c r="G78" s="11">
        <f>'02_Inputs'!F78</f>
        <v/>
      </c>
      <c r="H78" s="12">
        <f>F78/G78</f>
        <v/>
      </c>
      <c r="I78" s="6">
        <f>'02_Inputs'!G78</f>
        <v/>
      </c>
      <c r="J78" s="12">
        <f>H78*I78</f>
        <v/>
      </c>
      <c r="K78" s="6">
        <f>'02_Inputs'!H78</f>
        <v/>
      </c>
      <c r="L78" s="12">
        <f>J78*K78</f>
        <v/>
      </c>
      <c r="M78" s="12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1">
        <f>L78*1000*AA78*86400</f>
        <v/>
      </c>
      <c r="AC78" s="11">
        <f>AB78*365</f>
        <v/>
      </c>
    </row>
    <row r="79">
      <c r="A79" s="11">
        <f>'02_Inputs'!A79</f>
        <v/>
      </c>
      <c r="B79" s="11">
        <f>'02_Inputs'!B79</f>
        <v/>
      </c>
      <c r="C79" s="11">
        <f>'02_Inputs'!C79</f>
        <v/>
      </c>
      <c r="D79" s="12">
        <f>'02_Inputs'!D79</f>
        <v/>
      </c>
      <c r="E79" s="6">
        <f>'02_Inputs'!E79</f>
        <v/>
      </c>
      <c r="F79" s="12">
        <f>D79*E79</f>
        <v/>
      </c>
      <c r="G79" s="11">
        <f>'02_Inputs'!F79</f>
        <v/>
      </c>
      <c r="H79" s="12">
        <f>F79/G79</f>
        <v/>
      </c>
      <c r="I79" s="6">
        <f>'02_Inputs'!G79</f>
        <v/>
      </c>
      <c r="J79" s="12">
        <f>H79*I79</f>
        <v/>
      </c>
      <c r="K79" s="6">
        <f>'02_Inputs'!H79</f>
        <v/>
      </c>
      <c r="L79" s="12">
        <f>J79*K79</f>
        <v/>
      </c>
      <c r="M79" s="12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1">
        <f>L79*1000*AA79*86400</f>
        <v/>
      </c>
      <c r="AC79" s="11">
        <f>AB79*365</f>
        <v/>
      </c>
    </row>
    <row r="80">
      <c r="A80" s="11">
        <f>'02_Inputs'!A80</f>
        <v/>
      </c>
      <c r="B80" s="11">
        <f>'02_Inputs'!B80</f>
        <v/>
      </c>
      <c r="C80" s="11">
        <f>'02_Inputs'!C80</f>
        <v/>
      </c>
      <c r="D80" s="12">
        <f>'02_Inputs'!D80</f>
        <v/>
      </c>
      <c r="E80" s="6">
        <f>'02_Inputs'!E80</f>
        <v/>
      </c>
      <c r="F80" s="12">
        <f>D80*E80</f>
        <v/>
      </c>
      <c r="G80" s="11">
        <f>'02_Inputs'!F80</f>
        <v/>
      </c>
      <c r="H80" s="12">
        <f>F80/G80</f>
        <v/>
      </c>
      <c r="I80" s="6">
        <f>'02_Inputs'!G80</f>
        <v/>
      </c>
      <c r="J80" s="12">
        <f>H80*I80</f>
        <v/>
      </c>
      <c r="K80" s="6">
        <f>'02_Inputs'!H80</f>
        <v/>
      </c>
      <c r="L80" s="12">
        <f>J80*K80</f>
        <v/>
      </c>
      <c r="M80" s="12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1">
        <f>L80*1000*AA80*86400</f>
        <v/>
      </c>
      <c r="AC80" s="11">
        <f>AB80*365</f>
        <v/>
      </c>
    </row>
    <row r="81">
      <c r="A81" s="11">
        <f>'02_Inputs'!A81</f>
        <v/>
      </c>
      <c r="B81" s="11">
        <f>'02_Inputs'!B81</f>
        <v/>
      </c>
      <c r="C81" s="11">
        <f>'02_Inputs'!C81</f>
        <v/>
      </c>
      <c r="D81" s="12">
        <f>'02_Inputs'!D81</f>
        <v/>
      </c>
      <c r="E81" s="6">
        <f>'02_Inputs'!E81</f>
        <v/>
      </c>
      <c r="F81" s="12">
        <f>D81*E81</f>
        <v/>
      </c>
      <c r="G81" s="11">
        <f>'02_Inputs'!F81</f>
        <v/>
      </c>
      <c r="H81" s="12">
        <f>F81/G81</f>
        <v/>
      </c>
      <c r="I81" s="6">
        <f>'02_Inputs'!G81</f>
        <v/>
      </c>
      <c r="J81" s="12">
        <f>H81*I81</f>
        <v/>
      </c>
      <c r="K81" s="6">
        <f>'02_Inputs'!H81</f>
        <v/>
      </c>
      <c r="L81" s="12">
        <f>J81*K81</f>
        <v/>
      </c>
      <c r="M81" s="12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1">
        <f>L81*1000*AA81*86400</f>
        <v/>
      </c>
      <c r="AC81" s="11">
        <f>AB81*365</f>
        <v/>
      </c>
    </row>
    <row r="82">
      <c r="A82" s="11">
        <f>'02_Inputs'!A82</f>
        <v/>
      </c>
      <c r="B82" s="11">
        <f>'02_Inputs'!B82</f>
        <v/>
      </c>
      <c r="C82" s="11">
        <f>'02_Inputs'!C82</f>
        <v/>
      </c>
      <c r="D82" s="12">
        <f>'02_Inputs'!D82</f>
        <v/>
      </c>
      <c r="E82" s="6">
        <f>'02_Inputs'!E82</f>
        <v/>
      </c>
      <c r="F82" s="12">
        <f>D82*E82</f>
        <v/>
      </c>
      <c r="G82" s="11">
        <f>'02_Inputs'!F82</f>
        <v/>
      </c>
      <c r="H82" s="12">
        <f>F82/G82</f>
        <v/>
      </c>
      <c r="I82" s="6">
        <f>'02_Inputs'!G82</f>
        <v/>
      </c>
      <c r="J82" s="12">
        <f>H82*I82</f>
        <v/>
      </c>
      <c r="K82" s="6">
        <f>'02_Inputs'!H82</f>
        <v/>
      </c>
      <c r="L82" s="12">
        <f>J82*K82</f>
        <v/>
      </c>
      <c r="M82" s="12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1">
        <f>L82*1000*AA82*86400</f>
        <v/>
      </c>
      <c r="AC82" s="11">
        <f>AB82*365</f>
        <v/>
      </c>
    </row>
    <row r="83">
      <c r="A83" s="11">
        <f>'02_Inputs'!A83</f>
        <v/>
      </c>
      <c r="B83" s="11">
        <f>'02_Inputs'!B83</f>
        <v/>
      </c>
      <c r="C83" s="11">
        <f>'02_Inputs'!C83</f>
        <v/>
      </c>
      <c r="D83" s="12">
        <f>'02_Inputs'!D83</f>
        <v/>
      </c>
      <c r="E83" s="6">
        <f>'02_Inputs'!E83</f>
        <v/>
      </c>
      <c r="F83" s="12">
        <f>D83*E83</f>
        <v/>
      </c>
      <c r="G83" s="11">
        <f>'02_Inputs'!F83</f>
        <v/>
      </c>
      <c r="H83" s="12">
        <f>F83/G83</f>
        <v/>
      </c>
      <c r="I83" s="6">
        <f>'02_Inputs'!G83</f>
        <v/>
      </c>
      <c r="J83" s="12">
        <f>H83*I83</f>
        <v/>
      </c>
      <c r="K83" s="6">
        <f>'02_Inputs'!H83</f>
        <v/>
      </c>
      <c r="L83" s="12">
        <f>J83*K83</f>
        <v/>
      </c>
      <c r="M83" s="12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1">
        <f>L83*1000*AA83*86400</f>
        <v/>
      </c>
      <c r="AC83" s="11">
        <f>AB83*365</f>
        <v/>
      </c>
    </row>
    <row r="84">
      <c r="A84" s="11">
        <f>'02_Inputs'!A84</f>
        <v/>
      </c>
      <c r="B84" s="11">
        <f>'02_Inputs'!B84</f>
        <v/>
      </c>
      <c r="C84" s="11">
        <f>'02_Inputs'!C84</f>
        <v/>
      </c>
      <c r="D84" s="12">
        <f>'02_Inputs'!D84</f>
        <v/>
      </c>
      <c r="E84" s="6">
        <f>'02_Inputs'!E84</f>
        <v/>
      </c>
      <c r="F84" s="12">
        <f>D84*E84</f>
        <v/>
      </c>
      <c r="G84" s="11">
        <f>'02_Inputs'!F84</f>
        <v/>
      </c>
      <c r="H84" s="12">
        <f>F84/G84</f>
        <v/>
      </c>
      <c r="I84" s="6">
        <f>'02_Inputs'!G84</f>
        <v/>
      </c>
      <c r="J84" s="12">
        <f>H84*I84</f>
        <v/>
      </c>
      <c r="K84" s="6">
        <f>'02_Inputs'!H84</f>
        <v/>
      </c>
      <c r="L84" s="12">
        <f>J84*K84</f>
        <v/>
      </c>
      <c r="M84" s="12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1">
        <f>L84*1000*AA84*86400</f>
        <v/>
      </c>
      <c r="AC84" s="11">
        <f>AB84*365</f>
        <v/>
      </c>
    </row>
    <row r="85">
      <c r="A85" s="11">
        <f>'02_Inputs'!A85</f>
        <v/>
      </c>
      <c r="B85" s="11">
        <f>'02_Inputs'!B85</f>
        <v/>
      </c>
      <c r="C85" s="11">
        <f>'02_Inputs'!C85</f>
        <v/>
      </c>
      <c r="D85" s="12">
        <f>'02_Inputs'!D85</f>
        <v/>
      </c>
      <c r="E85" s="6">
        <f>'02_Inputs'!E85</f>
        <v/>
      </c>
      <c r="F85" s="12">
        <f>D85*E85</f>
        <v/>
      </c>
      <c r="G85" s="11">
        <f>'02_Inputs'!F85</f>
        <v/>
      </c>
      <c r="H85" s="12">
        <f>F85/G85</f>
        <v/>
      </c>
      <c r="I85" s="6">
        <f>'02_Inputs'!G85</f>
        <v/>
      </c>
      <c r="J85" s="12">
        <f>H85*I85</f>
        <v/>
      </c>
      <c r="K85" s="6">
        <f>'02_Inputs'!H85</f>
        <v/>
      </c>
      <c r="L85" s="12">
        <f>J85*K85</f>
        <v/>
      </c>
      <c r="M85" s="12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1">
        <f>L85*1000*AA85*86400</f>
        <v/>
      </c>
      <c r="AC85" s="11">
        <f>AB85*365</f>
        <v/>
      </c>
    </row>
    <row r="86">
      <c r="A86" s="11">
        <f>'02_Inputs'!A86</f>
        <v/>
      </c>
      <c r="B86" s="11">
        <f>'02_Inputs'!B86</f>
        <v/>
      </c>
      <c r="C86" s="11">
        <f>'02_Inputs'!C86</f>
        <v/>
      </c>
      <c r="D86" s="12">
        <f>'02_Inputs'!D86</f>
        <v/>
      </c>
      <c r="E86" s="6">
        <f>'02_Inputs'!E86</f>
        <v/>
      </c>
      <c r="F86" s="12">
        <f>D86*E86</f>
        <v/>
      </c>
      <c r="G86" s="11">
        <f>'02_Inputs'!F86</f>
        <v/>
      </c>
      <c r="H86" s="12">
        <f>F86/G86</f>
        <v/>
      </c>
      <c r="I86" s="6">
        <f>'02_Inputs'!G86</f>
        <v/>
      </c>
      <c r="J86" s="12">
        <f>H86*I86</f>
        <v/>
      </c>
      <c r="K86" s="6">
        <f>'02_Inputs'!H86</f>
        <v/>
      </c>
      <c r="L86" s="12">
        <f>J86*K86</f>
        <v/>
      </c>
      <c r="M86" s="12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1">
        <f>L86*1000*AA86*86400</f>
        <v/>
      </c>
      <c r="AC86" s="11">
        <f>AB86*365</f>
        <v/>
      </c>
    </row>
    <row r="87">
      <c r="A87" s="11">
        <f>'02_Inputs'!A87</f>
        <v/>
      </c>
      <c r="B87" s="11">
        <f>'02_Inputs'!B87</f>
        <v/>
      </c>
      <c r="C87" s="11">
        <f>'02_Inputs'!C87</f>
        <v/>
      </c>
      <c r="D87" s="12">
        <f>'02_Inputs'!D87</f>
        <v/>
      </c>
      <c r="E87" s="6">
        <f>'02_Inputs'!E87</f>
        <v/>
      </c>
      <c r="F87" s="12">
        <f>D87*E87</f>
        <v/>
      </c>
      <c r="G87" s="11">
        <f>'02_Inputs'!F87</f>
        <v/>
      </c>
      <c r="H87" s="12">
        <f>F87/G87</f>
        <v/>
      </c>
      <c r="I87" s="6">
        <f>'02_Inputs'!G87</f>
        <v/>
      </c>
      <c r="J87" s="12">
        <f>H87*I87</f>
        <v/>
      </c>
      <c r="K87" s="6">
        <f>'02_Inputs'!H87</f>
        <v/>
      </c>
      <c r="L87" s="12">
        <f>J87*K87</f>
        <v/>
      </c>
      <c r="M87" s="12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1">
        <f>L87*1000*AA87*86400</f>
        <v/>
      </c>
      <c r="AC87" s="11">
        <f>AB87*365</f>
        <v/>
      </c>
    </row>
    <row r="88">
      <c r="A88" s="11">
        <f>'02_Inputs'!A88</f>
        <v/>
      </c>
      <c r="B88" s="11">
        <f>'02_Inputs'!B88</f>
        <v/>
      </c>
      <c r="C88" s="11">
        <f>'02_Inputs'!C88</f>
        <v/>
      </c>
      <c r="D88" s="12">
        <f>'02_Inputs'!D88</f>
        <v/>
      </c>
      <c r="E88" s="6">
        <f>'02_Inputs'!E88</f>
        <v/>
      </c>
      <c r="F88" s="12">
        <f>D88*E88</f>
        <v/>
      </c>
      <c r="G88" s="11">
        <f>'02_Inputs'!F88</f>
        <v/>
      </c>
      <c r="H88" s="12">
        <f>F88/G88</f>
        <v/>
      </c>
      <c r="I88" s="6">
        <f>'02_Inputs'!G88</f>
        <v/>
      </c>
      <c r="J88" s="12">
        <f>H88*I88</f>
        <v/>
      </c>
      <c r="K88" s="6">
        <f>'02_Inputs'!H88</f>
        <v/>
      </c>
      <c r="L88" s="12">
        <f>J88*K88</f>
        <v/>
      </c>
      <c r="M88" s="12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1">
        <f>L88*1000*AA88*86400</f>
        <v/>
      </c>
      <c r="AC88" s="11">
        <f>AB88*365</f>
        <v/>
      </c>
    </row>
    <row r="89">
      <c r="A89" s="11">
        <f>'02_Inputs'!A89</f>
        <v/>
      </c>
      <c r="B89" s="11">
        <f>'02_Inputs'!B89</f>
        <v/>
      </c>
      <c r="C89" s="11">
        <f>'02_Inputs'!C89</f>
        <v/>
      </c>
      <c r="D89" s="12">
        <f>'02_Inputs'!D89</f>
        <v/>
      </c>
      <c r="E89" s="6">
        <f>'02_Inputs'!E89</f>
        <v/>
      </c>
      <c r="F89" s="12">
        <f>D89*E89</f>
        <v/>
      </c>
      <c r="G89" s="11">
        <f>'02_Inputs'!F89</f>
        <v/>
      </c>
      <c r="H89" s="12">
        <f>F89/G89</f>
        <v/>
      </c>
      <c r="I89" s="6">
        <f>'02_Inputs'!G89</f>
        <v/>
      </c>
      <c r="J89" s="12">
        <f>H89*I89</f>
        <v/>
      </c>
      <c r="K89" s="6">
        <f>'02_Inputs'!H89</f>
        <v/>
      </c>
      <c r="L89" s="12">
        <f>J89*K89</f>
        <v/>
      </c>
      <c r="M89" s="12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1">
        <f>L89*1000*AA89*86400</f>
        <v/>
      </c>
      <c r="AC89" s="11">
        <f>AB89*365</f>
        <v/>
      </c>
    </row>
    <row r="90">
      <c r="A90" s="11">
        <f>'02_Inputs'!A90</f>
        <v/>
      </c>
      <c r="B90" s="11">
        <f>'02_Inputs'!B90</f>
        <v/>
      </c>
      <c r="C90" s="11">
        <f>'02_Inputs'!C90</f>
        <v/>
      </c>
      <c r="D90" s="12">
        <f>'02_Inputs'!D90</f>
        <v/>
      </c>
      <c r="E90" s="6">
        <f>'02_Inputs'!E90</f>
        <v/>
      </c>
      <c r="F90" s="12">
        <f>D90*E90</f>
        <v/>
      </c>
      <c r="G90" s="11">
        <f>'02_Inputs'!F90</f>
        <v/>
      </c>
      <c r="H90" s="12">
        <f>F90/G90</f>
        <v/>
      </c>
      <c r="I90" s="6">
        <f>'02_Inputs'!G90</f>
        <v/>
      </c>
      <c r="J90" s="12">
        <f>H90*I90</f>
        <v/>
      </c>
      <c r="K90" s="6">
        <f>'02_Inputs'!H90</f>
        <v/>
      </c>
      <c r="L90" s="12">
        <f>J90*K90</f>
        <v/>
      </c>
      <c r="M90" s="12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1">
        <f>L90*1000*AA90*86400</f>
        <v/>
      </c>
      <c r="AC90" s="11">
        <f>AB90*365</f>
        <v/>
      </c>
    </row>
    <row r="91">
      <c r="A91" s="11">
        <f>'02_Inputs'!A91</f>
        <v/>
      </c>
      <c r="B91" s="11">
        <f>'02_Inputs'!B91</f>
        <v/>
      </c>
      <c r="C91" s="11">
        <f>'02_Inputs'!C91</f>
        <v/>
      </c>
      <c r="D91" s="12">
        <f>'02_Inputs'!D91</f>
        <v/>
      </c>
      <c r="E91" s="6">
        <f>'02_Inputs'!E91</f>
        <v/>
      </c>
      <c r="F91" s="12">
        <f>D91*E91</f>
        <v/>
      </c>
      <c r="G91" s="11">
        <f>'02_Inputs'!F91</f>
        <v/>
      </c>
      <c r="H91" s="12">
        <f>F91/G91</f>
        <v/>
      </c>
      <c r="I91" s="6">
        <f>'02_Inputs'!G91</f>
        <v/>
      </c>
      <c r="J91" s="12">
        <f>H91*I91</f>
        <v/>
      </c>
      <c r="K91" s="6">
        <f>'02_Inputs'!H91</f>
        <v/>
      </c>
      <c r="L91" s="12">
        <f>J91*K91</f>
        <v/>
      </c>
      <c r="M91" s="12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1">
        <f>L91*1000*AA91*86400</f>
        <v/>
      </c>
      <c r="AC91" s="11">
        <f>AB91*365</f>
        <v/>
      </c>
    </row>
    <row r="92">
      <c r="A92" s="11">
        <f>'02_Inputs'!A92</f>
        <v/>
      </c>
      <c r="B92" s="11">
        <f>'02_Inputs'!B92</f>
        <v/>
      </c>
      <c r="C92" s="11">
        <f>'02_Inputs'!C92</f>
        <v/>
      </c>
      <c r="D92" s="12">
        <f>'02_Inputs'!D92</f>
        <v/>
      </c>
      <c r="E92" s="6">
        <f>'02_Inputs'!E92</f>
        <v/>
      </c>
      <c r="F92" s="12">
        <f>D92*E92</f>
        <v/>
      </c>
      <c r="G92" s="11">
        <f>'02_Inputs'!F92</f>
        <v/>
      </c>
      <c r="H92" s="12">
        <f>F92/G92</f>
        <v/>
      </c>
      <c r="I92" s="6">
        <f>'02_Inputs'!G92</f>
        <v/>
      </c>
      <c r="J92" s="12">
        <f>H92*I92</f>
        <v/>
      </c>
      <c r="K92" s="6">
        <f>'02_Inputs'!H92</f>
        <v/>
      </c>
      <c r="L92" s="12">
        <f>J92*K92</f>
        <v/>
      </c>
      <c r="M92" s="12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1">
        <f>L92*1000*AA92*86400</f>
        <v/>
      </c>
      <c r="AC92" s="11">
        <f>AB92*365</f>
        <v/>
      </c>
    </row>
    <row r="93">
      <c r="A93" s="11">
        <f>'02_Inputs'!A93</f>
        <v/>
      </c>
      <c r="B93" s="11">
        <f>'02_Inputs'!B93</f>
        <v/>
      </c>
      <c r="C93" s="11">
        <f>'02_Inputs'!C93</f>
        <v/>
      </c>
      <c r="D93" s="12">
        <f>'02_Inputs'!D93</f>
        <v/>
      </c>
      <c r="E93" s="6">
        <f>'02_Inputs'!E93</f>
        <v/>
      </c>
      <c r="F93" s="12">
        <f>D93*E93</f>
        <v/>
      </c>
      <c r="G93" s="11">
        <f>'02_Inputs'!F93</f>
        <v/>
      </c>
      <c r="H93" s="12">
        <f>F93/G93</f>
        <v/>
      </c>
      <c r="I93" s="6">
        <f>'02_Inputs'!G93</f>
        <v/>
      </c>
      <c r="J93" s="12">
        <f>H93*I93</f>
        <v/>
      </c>
      <c r="K93" s="6">
        <f>'02_Inputs'!H93</f>
        <v/>
      </c>
      <c r="L93" s="12">
        <f>J93*K93</f>
        <v/>
      </c>
      <c r="M93" s="12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1">
        <f>L93*1000*AA93*86400</f>
        <v/>
      </c>
      <c r="AC93" s="11">
        <f>AB93*365</f>
        <v/>
      </c>
    </row>
    <row r="94">
      <c r="A94" s="11">
        <f>'02_Inputs'!A94</f>
        <v/>
      </c>
      <c r="B94" s="11">
        <f>'02_Inputs'!B94</f>
        <v/>
      </c>
      <c r="C94" s="11">
        <f>'02_Inputs'!C94</f>
        <v/>
      </c>
      <c r="D94" s="12">
        <f>'02_Inputs'!D94</f>
        <v/>
      </c>
      <c r="E94" s="6">
        <f>'02_Inputs'!E94</f>
        <v/>
      </c>
      <c r="F94" s="12">
        <f>D94*E94</f>
        <v/>
      </c>
      <c r="G94" s="11">
        <f>'02_Inputs'!F94</f>
        <v/>
      </c>
      <c r="H94" s="12">
        <f>F94/G94</f>
        <v/>
      </c>
      <c r="I94" s="6">
        <f>'02_Inputs'!G94</f>
        <v/>
      </c>
      <c r="J94" s="12">
        <f>H94*I94</f>
        <v/>
      </c>
      <c r="K94" s="6">
        <f>'02_Inputs'!H94</f>
        <v/>
      </c>
      <c r="L94" s="12">
        <f>J94*K94</f>
        <v/>
      </c>
      <c r="M94" s="12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1">
        <f>L94*1000*AA94*86400</f>
        <v/>
      </c>
      <c r="AC94" s="11">
        <f>AB94*365</f>
        <v/>
      </c>
    </row>
    <row r="95">
      <c r="A95" s="11">
        <f>'02_Inputs'!A95</f>
        <v/>
      </c>
      <c r="B95" s="11">
        <f>'02_Inputs'!B95</f>
        <v/>
      </c>
      <c r="C95" s="11">
        <f>'02_Inputs'!C95</f>
        <v/>
      </c>
      <c r="D95" s="12">
        <f>'02_Inputs'!D95</f>
        <v/>
      </c>
      <c r="E95" s="6">
        <f>'02_Inputs'!E95</f>
        <v/>
      </c>
      <c r="F95" s="12">
        <f>D95*E95</f>
        <v/>
      </c>
      <c r="G95" s="11">
        <f>'02_Inputs'!F95</f>
        <v/>
      </c>
      <c r="H95" s="12">
        <f>F95/G95</f>
        <v/>
      </c>
      <c r="I95" s="6">
        <f>'02_Inputs'!G95</f>
        <v/>
      </c>
      <c r="J95" s="12">
        <f>H95*I95</f>
        <v/>
      </c>
      <c r="K95" s="6">
        <f>'02_Inputs'!H95</f>
        <v/>
      </c>
      <c r="L95" s="12">
        <f>J95*K95</f>
        <v/>
      </c>
      <c r="M95" s="12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1">
        <f>L95*1000*AA95*86400</f>
        <v/>
      </c>
      <c r="AC95" s="11">
        <f>AB95*365</f>
        <v/>
      </c>
    </row>
    <row r="96">
      <c r="A96" s="11">
        <f>'02_Inputs'!A96</f>
        <v/>
      </c>
      <c r="B96" s="11">
        <f>'02_Inputs'!B96</f>
        <v/>
      </c>
      <c r="C96" s="11">
        <f>'02_Inputs'!C96</f>
        <v/>
      </c>
      <c r="D96" s="12">
        <f>'02_Inputs'!D96</f>
        <v/>
      </c>
      <c r="E96" s="6">
        <f>'02_Inputs'!E96</f>
        <v/>
      </c>
      <c r="F96" s="12">
        <f>D96*E96</f>
        <v/>
      </c>
      <c r="G96" s="11">
        <f>'02_Inputs'!F96</f>
        <v/>
      </c>
      <c r="H96" s="12">
        <f>F96/G96</f>
        <v/>
      </c>
      <c r="I96" s="6">
        <f>'02_Inputs'!G96</f>
        <v/>
      </c>
      <c r="J96" s="12">
        <f>H96*I96</f>
        <v/>
      </c>
      <c r="K96" s="6">
        <f>'02_Inputs'!H96</f>
        <v/>
      </c>
      <c r="L96" s="12">
        <f>J96*K96</f>
        <v/>
      </c>
      <c r="M96" s="12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1">
        <f>L96*1000*AA96*86400</f>
        <v/>
      </c>
      <c r="AC96" s="11">
        <f>AB96*365</f>
        <v/>
      </c>
    </row>
    <row r="97">
      <c r="A97" s="11">
        <f>'02_Inputs'!A97</f>
        <v/>
      </c>
      <c r="B97" s="11">
        <f>'02_Inputs'!B97</f>
        <v/>
      </c>
      <c r="C97" s="11">
        <f>'02_Inputs'!C97</f>
        <v/>
      </c>
      <c r="D97" s="12">
        <f>'02_Inputs'!D97</f>
        <v/>
      </c>
      <c r="E97" s="6">
        <f>'02_Inputs'!E97</f>
        <v/>
      </c>
      <c r="F97" s="12">
        <f>D97*E97</f>
        <v/>
      </c>
      <c r="G97" s="11">
        <f>'02_Inputs'!F97</f>
        <v/>
      </c>
      <c r="H97" s="12">
        <f>F97/G97</f>
        <v/>
      </c>
      <c r="I97" s="6">
        <f>'02_Inputs'!G97</f>
        <v/>
      </c>
      <c r="J97" s="12">
        <f>H97*I97</f>
        <v/>
      </c>
      <c r="K97" s="6">
        <f>'02_Inputs'!H97</f>
        <v/>
      </c>
      <c r="L97" s="12">
        <f>J97*K97</f>
        <v/>
      </c>
      <c r="M97" s="12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1">
        <f>L97*1000*AA97*86400</f>
        <v/>
      </c>
      <c r="AC97" s="11">
        <f>AB97*365</f>
        <v/>
      </c>
    </row>
    <row r="98">
      <c r="A98" s="11">
        <f>'02_Inputs'!A98</f>
        <v/>
      </c>
      <c r="B98" s="11">
        <f>'02_Inputs'!B98</f>
        <v/>
      </c>
      <c r="C98" s="11">
        <f>'02_Inputs'!C98</f>
        <v/>
      </c>
      <c r="D98" s="12">
        <f>'02_Inputs'!D98</f>
        <v/>
      </c>
      <c r="E98" s="6">
        <f>'02_Inputs'!E98</f>
        <v/>
      </c>
      <c r="F98" s="12">
        <f>D98*E98</f>
        <v/>
      </c>
      <c r="G98" s="11">
        <f>'02_Inputs'!F98</f>
        <v/>
      </c>
      <c r="H98" s="12">
        <f>F98/G98</f>
        <v/>
      </c>
      <c r="I98" s="6">
        <f>'02_Inputs'!G98</f>
        <v/>
      </c>
      <c r="J98" s="12">
        <f>H98*I98</f>
        <v/>
      </c>
      <c r="K98" s="6">
        <f>'02_Inputs'!H98</f>
        <v/>
      </c>
      <c r="L98" s="12">
        <f>J98*K98</f>
        <v/>
      </c>
      <c r="M98" s="12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1">
        <f>L98*1000*AA98*86400</f>
        <v/>
      </c>
      <c r="AC98" s="11">
        <f>AB98*365</f>
        <v/>
      </c>
    </row>
    <row r="99">
      <c r="A99" s="11">
        <f>'02_Inputs'!A99</f>
        <v/>
      </c>
      <c r="B99" s="11">
        <f>'02_Inputs'!B99</f>
        <v/>
      </c>
      <c r="C99" s="11">
        <f>'02_Inputs'!C99</f>
        <v/>
      </c>
      <c r="D99" s="12">
        <f>'02_Inputs'!D99</f>
        <v/>
      </c>
      <c r="E99" s="6">
        <f>'02_Inputs'!E99</f>
        <v/>
      </c>
      <c r="F99" s="12">
        <f>D99*E99</f>
        <v/>
      </c>
      <c r="G99" s="11">
        <f>'02_Inputs'!F99</f>
        <v/>
      </c>
      <c r="H99" s="12">
        <f>F99/G99</f>
        <v/>
      </c>
      <c r="I99" s="6">
        <f>'02_Inputs'!G99</f>
        <v/>
      </c>
      <c r="J99" s="12">
        <f>H99*I99</f>
        <v/>
      </c>
      <c r="K99" s="6">
        <f>'02_Inputs'!H99</f>
        <v/>
      </c>
      <c r="L99" s="12">
        <f>J99*K99</f>
        <v/>
      </c>
      <c r="M99" s="12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1">
        <f>L99*1000*AA99*86400</f>
        <v/>
      </c>
      <c r="AC99" s="11">
        <f>AB99*365</f>
        <v/>
      </c>
    </row>
    <row r="100">
      <c r="A100" s="11">
        <f>'02_Inputs'!A100</f>
        <v/>
      </c>
      <c r="B100" s="11">
        <f>'02_Inputs'!B100</f>
        <v/>
      </c>
      <c r="C100" s="11">
        <f>'02_Inputs'!C100</f>
        <v/>
      </c>
      <c r="D100" s="12">
        <f>'02_Inputs'!D100</f>
        <v/>
      </c>
      <c r="E100" s="6">
        <f>'02_Inputs'!E100</f>
        <v/>
      </c>
      <c r="F100" s="12">
        <f>D100*E100</f>
        <v/>
      </c>
      <c r="G100" s="11">
        <f>'02_Inputs'!F100</f>
        <v/>
      </c>
      <c r="H100" s="12">
        <f>F100/G100</f>
        <v/>
      </c>
      <c r="I100" s="6">
        <f>'02_Inputs'!G100</f>
        <v/>
      </c>
      <c r="J100" s="12">
        <f>H100*I100</f>
        <v/>
      </c>
      <c r="K100" s="6">
        <f>'02_Inputs'!H100</f>
        <v/>
      </c>
      <c r="L100" s="12">
        <f>J100*K100</f>
        <v/>
      </c>
      <c r="M100" s="12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1">
        <f>L100*1000*AA100*86400</f>
        <v/>
      </c>
      <c r="AC100" s="11">
        <f>AB100*365</f>
        <v/>
      </c>
    </row>
    <row r="101">
      <c r="A101" s="11">
        <f>'02_Inputs'!A101</f>
        <v/>
      </c>
      <c r="B101" s="11">
        <f>'02_Inputs'!B101</f>
        <v/>
      </c>
      <c r="C101" s="11">
        <f>'02_Inputs'!C101</f>
        <v/>
      </c>
      <c r="D101" s="12">
        <f>'02_Inputs'!D101</f>
        <v/>
      </c>
      <c r="E101" s="6">
        <f>'02_Inputs'!E101</f>
        <v/>
      </c>
      <c r="F101" s="12">
        <f>D101*E101</f>
        <v/>
      </c>
      <c r="G101" s="11">
        <f>'02_Inputs'!F101</f>
        <v/>
      </c>
      <c r="H101" s="12">
        <f>F101/G101</f>
        <v/>
      </c>
      <c r="I101" s="6">
        <f>'02_Inputs'!G101</f>
        <v/>
      </c>
      <c r="J101" s="12">
        <f>H101*I101</f>
        <v/>
      </c>
      <c r="K101" s="6">
        <f>'02_Inputs'!H101</f>
        <v/>
      </c>
      <c r="L101" s="12">
        <f>J101*K101</f>
        <v/>
      </c>
      <c r="M101" s="12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1">
        <f>L101*1000*AA101*86400</f>
        <v/>
      </c>
      <c r="AC101" s="11">
        <f>AB101*365</f>
        <v/>
      </c>
    </row>
    <row r="102">
      <c r="A102" s="11">
        <f>'02_Inputs'!A102</f>
        <v/>
      </c>
      <c r="B102" s="11">
        <f>'02_Inputs'!B102</f>
        <v/>
      </c>
      <c r="C102" s="11">
        <f>'02_Inputs'!C102</f>
        <v/>
      </c>
      <c r="D102" s="12">
        <f>'02_Inputs'!D102</f>
        <v/>
      </c>
      <c r="E102" s="6">
        <f>'02_Inputs'!E102</f>
        <v/>
      </c>
      <c r="F102" s="12">
        <f>D102*E102</f>
        <v/>
      </c>
      <c r="G102" s="11">
        <f>'02_Inputs'!F102</f>
        <v/>
      </c>
      <c r="H102" s="12">
        <f>F102/G102</f>
        <v/>
      </c>
      <c r="I102" s="6">
        <f>'02_Inputs'!G102</f>
        <v/>
      </c>
      <c r="J102" s="12">
        <f>H102*I102</f>
        <v/>
      </c>
      <c r="K102" s="6">
        <f>'02_Inputs'!H102</f>
        <v/>
      </c>
      <c r="L102" s="12">
        <f>J102*K102</f>
        <v/>
      </c>
      <c r="M102" s="12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1">
        <f>L102*1000*AA102*86400</f>
        <v/>
      </c>
      <c r="AC102" s="11">
        <f>AB102*365</f>
        <v/>
      </c>
    </row>
    <row r="103">
      <c r="A103" s="11">
        <f>'02_Inputs'!A103</f>
        <v/>
      </c>
      <c r="B103" s="11">
        <f>'02_Inputs'!B103</f>
        <v/>
      </c>
      <c r="C103" s="11">
        <f>'02_Inputs'!C103</f>
        <v/>
      </c>
      <c r="D103" s="12">
        <f>'02_Inputs'!D103</f>
        <v/>
      </c>
      <c r="E103" s="6">
        <f>'02_Inputs'!E103</f>
        <v/>
      </c>
      <c r="F103" s="12">
        <f>D103*E103</f>
        <v/>
      </c>
      <c r="G103" s="11">
        <f>'02_Inputs'!F103</f>
        <v/>
      </c>
      <c r="H103" s="12">
        <f>F103/G103</f>
        <v/>
      </c>
      <c r="I103" s="6">
        <f>'02_Inputs'!G103</f>
        <v/>
      </c>
      <c r="J103" s="12">
        <f>H103*I103</f>
        <v/>
      </c>
      <c r="K103" s="6">
        <f>'02_Inputs'!H103</f>
        <v/>
      </c>
      <c r="L103" s="12">
        <f>J103*K103</f>
        <v/>
      </c>
      <c r="M103" s="12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1">
        <f>L103*1000*AA103*86400</f>
        <v/>
      </c>
      <c r="AC103" s="11">
        <f>AB103*365</f>
        <v/>
      </c>
    </row>
    <row r="104">
      <c r="A104" s="11">
        <f>'02_Inputs'!A104</f>
        <v/>
      </c>
      <c r="B104" s="11">
        <f>'02_Inputs'!B104</f>
        <v/>
      </c>
      <c r="C104" s="11">
        <f>'02_Inputs'!C104</f>
        <v/>
      </c>
      <c r="D104" s="12">
        <f>'02_Inputs'!D104</f>
        <v/>
      </c>
      <c r="E104" s="6">
        <f>'02_Inputs'!E104</f>
        <v/>
      </c>
      <c r="F104" s="12">
        <f>D104*E104</f>
        <v/>
      </c>
      <c r="G104" s="11">
        <f>'02_Inputs'!F104</f>
        <v/>
      </c>
      <c r="H104" s="12">
        <f>F104/G104</f>
        <v/>
      </c>
      <c r="I104" s="6">
        <f>'02_Inputs'!G104</f>
        <v/>
      </c>
      <c r="J104" s="12">
        <f>H104*I104</f>
        <v/>
      </c>
      <c r="K104" s="6">
        <f>'02_Inputs'!H104</f>
        <v/>
      </c>
      <c r="L104" s="12">
        <f>J104*K104</f>
        <v/>
      </c>
      <c r="M104" s="12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1">
        <f>L104*1000*AA104*86400</f>
        <v/>
      </c>
      <c r="AC104" s="11">
        <f>AB104*365</f>
        <v/>
      </c>
    </row>
    <row r="105">
      <c r="A105" s="11">
        <f>'02_Inputs'!A105</f>
        <v/>
      </c>
      <c r="B105" s="11">
        <f>'02_Inputs'!B105</f>
        <v/>
      </c>
      <c r="C105" s="11">
        <f>'02_Inputs'!C105</f>
        <v/>
      </c>
      <c r="D105" s="12">
        <f>'02_Inputs'!D105</f>
        <v/>
      </c>
      <c r="E105" s="6">
        <f>'02_Inputs'!E105</f>
        <v/>
      </c>
      <c r="F105" s="12">
        <f>D105*E105</f>
        <v/>
      </c>
      <c r="G105" s="11">
        <f>'02_Inputs'!F105</f>
        <v/>
      </c>
      <c r="H105" s="12">
        <f>F105/G105</f>
        <v/>
      </c>
      <c r="I105" s="6">
        <f>'02_Inputs'!G105</f>
        <v/>
      </c>
      <c r="J105" s="12">
        <f>H105*I105</f>
        <v/>
      </c>
      <c r="K105" s="6">
        <f>'02_Inputs'!H105</f>
        <v/>
      </c>
      <c r="L105" s="12">
        <f>J105*K105</f>
        <v/>
      </c>
      <c r="M105" s="12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1">
        <f>L105*1000*AA105*86400</f>
        <v/>
      </c>
      <c r="AC105" s="11">
        <f>AB105*365</f>
        <v/>
      </c>
    </row>
    <row r="106">
      <c r="A106" s="11">
        <f>'02_Inputs'!A106</f>
        <v/>
      </c>
      <c r="B106" s="11">
        <f>'02_Inputs'!B106</f>
        <v/>
      </c>
      <c r="C106" s="11">
        <f>'02_Inputs'!C106</f>
        <v/>
      </c>
      <c r="D106" s="12">
        <f>'02_Inputs'!D106</f>
        <v/>
      </c>
      <c r="E106" s="6">
        <f>'02_Inputs'!E106</f>
        <v/>
      </c>
      <c r="F106" s="12">
        <f>D106*E106</f>
        <v/>
      </c>
      <c r="G106" s="11">
        <f>'02_Inputs'!F106</f>
        <v/>
      </c>
      <c r="H106" s="12">
        <f>F106/G106</f>
        <v/>
      </c>
      <c r="I106" s="6">
        <f>'02_Inputs'!G106</f>
        <v/>
      </c>
      <c r="J106" s="12">
        <f>H106*I106</f>
        <v/>
      </c>
      <c r="K106" s="6">
        <f>'02_Inputs'!H106</f>
        <v/>
      </c>
      <c r="L106" s="12">
        <f>J106*K106</f>
        <v/>
      </c>
      <c r="M106" s="12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1">
        <f>L106*1000*AA106*86400</f>
        <v/>
      </c>
      <c r="AC106" s="11">
        <f>AB106*365</f>
        <v/>
      </c>
    </row>
    <row r="107">
      <c r="A107" s="11">
        <f>'02_Inputs'!A107</f>
        <v/>
      </c>
      <c r="B107" s="11">
        <f>'02_Inputs'!B107</f>
        <v/>
      </c>
      <c r="C107" s="11">
        <f>'02_Inputs'!C107</f>
        <v/>
      </c>
      <c r="D107" s="12">
        <f>'02_Inputs'!D107</f>
        <v/>
      </c>
      <c r="E107" s="6">
        <f>'02_Inputs'!E107</f>
        <v/>
      </c>
      <c r="F107" s="12">
        <f>D107*E107</f>
        <v/>
      </c>
      <c r="G107" s="11">
        <f>'02_Inputs'!F107</f>
        <v/>
      </c>
      <c r="H107" s="12">
        <f>F107/G107</f>
        <v/>
      </c>
      <c r="I107" s="6">
        <f>'02_Inputs'!G107</f>
        <v/>
      </c>
      <c r="J107" s="12">
        <f>H107*I107</f>
        <v/>
      </c>
      <c r="K107" s="6">
        <f>'02_Inputs'!H107</f>
        <v/>
      </c>
      <c r="L107" s="12">
        <f>J107*K107</f>
        <v/>
      </c>
      <c r="M107" s="12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1">
        <f>L107*1000*AA107*86400</f>
        <v/>
      </c>
      <c r="AC107" s="11">
        <f>AB107*365</f>
        <v/>
      </c>
    </row>
    <row r="108">
      <c r="A108" s="11">
        <f>'02_Inputs'!A108</f>
        <v/>
      </c>
      <c r="B108" s="11">
        <f>'02_Inputs'!B108</f>
        <v/>
      </c>
      <c r="C108" s="11">
        <f>'02_Inputs'!C108</f>
        <v/>
      </c>
      <c r="D108" s="12">
        <f>'02_Inputs'!D108</f>
        <v/>
      </c>
      <c r="E108" s="6">
        <f>'02_Inputs'!E108</f>
        <v/>
      </c>
      <c r="F108" s="12">
        <f>D108*E108</f>
        <v/>
      </c>
      <c r="G108" s="11">
        <f>'02_Inputs'!F108</f>
        <v/>
      </c>
      <c r="H108" s="12">
        <f>F108/G108</f>
        <v/>
      </c>
      <c r="I108" s="6">
        <f>'02_Inputs'!G108</f>
        <v/>
      </c>
      <c r="J108" s="12">
        <f>H108*I108</f>
        <v/>
      </c>
      <c r="K108" s="6">
        <f>'02_Inputs'!H108</f>
        <v/>
      </c>
      <c r="L108" s="12">
        <f>J108*K108</f>
        <v/>
      </c>
      <c r="M108" s="12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1">
        <f>L108*1000*AA108*86400</f>
        <v/>
      </c>
      <c r="AC108" s="11">
        <f>AB108*365</f>
        <v/>
      </c>
    </row>
    <row r="109">
      <c r="A109" s="11">
        <f>'02_Inputs'!A109</f>
        <v/>
      </c>
      <c r="B109" s="11">
        <f>'02_Inputs'!B109</f>
        <v/>
      </c>
      <c r="C109" s="11">
        <f>'02_Inputs'!C109</f>
        <v/>
      </c>
      <c r="D109" s="12">
        <f>'02_Inputs'!D109</f>
        <v/>
      </c>
      <c r="E109" s="6">
        <f>'02_Inputs'!E109</f>
        <v/>
      </c>
      <c r="F109" s="12">
        <f>D109*E109</f>
        <v/>
      </c>
      <c r="G109" s="11">
        <f>'02_Inputs'!F109</f>
        <v/>
      </c>
      <c r="H109" s="12">
        <f>F109/G109</f>
        <v/>
      </c>
      <c r="I109" s="6">
        <f>'02_Inputs'!G109</f>
        <v/>
      </c>
      <c r="J109" s="12">
        <f>H109*I109</f>
        <v/>
      </c>
      <c r="K109" s="6">
        <f>'02_Inputs'!H109</f>
        <v/>
      </c>
      <c r="L109" s="12">
        <f>J109*K109</f>
        <v/>
      </c>
      <c r="M109" s="12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1">
        <f>L109*1000*AA109*86400</f>
        <v/>
      </c>
      <c r="AC109" s="11">
        <f>AB109*365</f>
        <v/>
      </c>
    </row>
    <row r="110">
      <c r="A110" s="11">
        <f>'02_Inputs'!A110</f>
        <v/>
      </c>
      <c r="B110" s="11">
        <f>'02_Inputs'!B110</f>
        <v/>
      </c>
      <c r="C110" s="11">
        <f>'02_Inputs'!C110</f>
        <v/>
      </c>
      <c r="D110" s="12">
        <f>'02_Inputs'!D110</f>
        <v/>
      </c>
      <c r="E110" s="6">
        <f>'02_Inputs'!E110</f>
        <v/>
      </c>
      <c r="F110" s="12">
        <f>D110*E110</f>
        <v/>
      </c>
      <c r="G110" s="11">
        <f>'02_Inputs'!F110</f>
        <v/>
      </c>
      <c r="H110" s="12">
        <f>F110/G110</f>
        <v/>
      </c>
      <c r="I110" s="6">
        <f>'02_Inputs'!G110</f>
        <v/>
      </c>
      <c r="J110" s="12">
        <f>H110*I110</f>
        <v/>
      </c>
      <c r="K110" s="6">
        <f>'02_Inputs'!H110</f>
        <v/>
      </c>
      <c r="L110" s="12">
        <f>J110*K110</f>
        <v/>
      </c>
      <c r="M110" s="12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1">
        <f>L110*1000*AA110*86400</f>
        <v/>
      </c>
      <c r="AC110" s="11">
        <f>AB110*365</f>
        <v/>
      </c>
    </row>
    <row r="111">
      <c r="A111" s="11">
        <f>'02_Inputs'!A111</f>
        <v/>
      </c>
      <c r="B111" s="11">
        <f>'02_Inputs'!B111</f>
        <v/>
      </c>
      <c r="C111" s="11">
        <f>'02_Inputs'!C111</f>
        <v/>
      </c>
      <c r="D111" s="12">
        <f>'02_Inputs'!D111</f>
        <v/>
      </c>
      <c r="E111" s="6">
        <f>'02_Inputs'!E111</f>
        <v/>
      </c>
      <c r="F111" s="12">
        <f>D111*E111</f>
        <v/>
      </c>
      <c r="G111" s="11">
        <f>'02_Inputs'!F111</f>
        <v/>
      </c>
      <c r="H111" s="12">
        <f>F111/G111</f>
        <v/>
      </c>
      <c r="I111" s="6">
        <f>'02_Inputs'!G111</f>
        <v/>
      </c>
      <c r="J111" s="12">
        <f>H111*I111</f>
        <v/>
      </c>
      <c r="K111" s="6">
        <f>'02_Inputs'!H111</f>
        <v/>
      </c>
      <c r="L111" s="12">
        <f>J111*K111</f>
        <v/>
      </c>
      <c r="M111" s="12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1">
        <f>L111*1000*AA111*86400</f>
        <v/>
      </c>
      <c r="AC111" s="11">
        <f>AB111*365</f>
        <v/>
      </c>
    </row>
    <row r="112">
      <c r="A112" s="11">
        <f>'02_Inputs'!A112</f>
        <v/>
      </c>
      <c r="B112" s="11">
        <f>'02_Inputs'!B112</f>
        <v/>
      </c>
      <c r="C112" s="11">
        <f>'02_Inputs'!C112</f>
        <v/>
      </c>
      <c r="D112" s="12">
        <f>'02_Inputs'!D112</f>
        <v/>
      </c>
      <c r="E112" s="6">
        <f>'02_Inputs'!E112</f>
        <v/>
      </c>
      <c r="F112" s="12">
        <f>D112*E112</f>
        <v/>
      </c>
      <c r="G112" s="11">
        <f>'02_Inputs'!F112</f>
        <v/>
      </c>
      <c r="H112" s="12">
        <f>F112/G112</f>
        <v/>
      </c>
      <c r="I112" s="6">
        <f>'02_Inputs'!G112</f>
        <v/>
      </c>
      <c r="J112" s="12">
        <f>H112*I112</f>
        <v/>
      </c>
      <c r="K112" s="6">
        <f>'02_Inputs'!H112</f>
        <v/>
      </c>
      <c r="L112" s="12">
        <f>J112*K112</f>
        <v/>
      </c>
      <c r="M112" s="12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1">
        <f>L112*1000*AA112*86400</f>
        <v/>
      </c>
      <c r="AC112" s="11">
        <f>AB112*365</f>
        <v/>
      </c>
    </row>
    <row r="113">
      <c r="A113" s="11">
        <f>'02_Inputs'!A113</f>
        <v/>
      </c>
      <c r="B113" s="11">
        <f>'02_Inputs'!B113</f>
        <v/>
      </c>
      <c r="C113" s="11">
        <f>'02_Inputs'!C113</f>
        <v/>
      </c>
      <c r="D113" s="12">
        <f>'02_Inputs'!D113</f>
        <v/>
      </c>
      <c r="E113" s="6">
        <f>'02_Inputs'!E113</f>
        <v/>
      </c>
      <c r="F113" s="12">
        <f>D113*E113</f>
        <v/>
      </c>
      <c r="G113" s="11">
        <f>'02_Inputs'!F113</f>
        <v/>
      </c>
      <c r="H113" s="12">
        <f>F113/G113</f>
        <v/>
      </c>
      <c r="I113" s="6">
        <f>'02_Inputs'!G113</f>
        <v/>
      </c>
      <c r="J113" s="12">
        <f>H113*I113</f>
        <v/>
      </c>
      <c r="K113" s="6">
        <f>'02_Inputs'!H113</f>
        <v/>
      </c>
      <c r="L113" s="12">
        <f>J113*K113</f>
        <v/>
      </c>
      <c r="M113" s="12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1">
        <f>L113*1000*AA113*86400</f>
        <v/>
      </c>
      <c r="AC113" s="11">
        <f>AB113*365</f>
        <v/>
      </c>
    </row>
    <row r="114">
      <c r="A114" s="11">
        <f>'02_Inputs'!A114</f>
        <v/>
      </c>
      <c r="B114" s="11">
        <f>'02_Inputs'!B114</f>
        <v/>
      </c>
      <c r="C114" s="11">
        <f>'02_Inputs'!C114</f>
        <v/>
      </c>
      <c r="D114" s="12">
        <f>'02_Inputs'!D114</f>
        <v/>
      </c>
      <c r="E114" s="6">
        <f>'02_Inputs'!E114</f>
        <v/>
      </c>
      <c r="F114" s="12">
        <f>D114*E114</f>
        <v/>
      </c>
      <c r="G114" s="11">
        <f>'02_Inputs'!F114</f>
        <v/>
      </c>
      <c r="H114" s="12">
        <f>F114/G114</f>
        <v/>
      </c>
      <c r="I114" s="6">
        <f>'02_Inputs'!G114</f>
        <v/>
      </c>
      <c r="J114" s="12">
        <f>H114*I114</f>
        <v/>
      </c>
      <c r="K114" s="6">
        <f>'02_Inputs'!H114</f>
        <v/>
      </c>
      <c r="L114" s="12">
        <f>J114*K114</f>
        <v/>
      </c>
      <c r="M114" s="12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1">
        <f>L114*1000*AA114*86400</f>
        <v/>
      </c>
      <c r="AC114" s="11">
        <f>AB114*365</f>
        <v/>
      </c>
    </row>
    <row r="115">
      <c r="A115" s="11">
        <f>'02_Inputs'!A115</f>
        <v/>
      </c>
      <c r="B115" s="11">
        <f>'02_Inputs'!B115</f>
        <v/>
      </c>
      <c r="C115" s="11">
        <f>'02_Inputs'!C115</f>
        <v/>
      </c>
      <c r="D115" s="12">
        <f>'02_Inputs'!D115</f>
        <v/>
      </c>
      <c r="E115" s="6">
        <f>'02_Inputs'!E115</f>
        <v/>
      </c>
      <c r="F115" s="12">
        <f>D115*E115</f>
        <v/>
      </c>
      <c r="G115" s="11">
        <f>'02_Inputs'!F115</f>
        <v/>
      </c>
      <c r="H115" s="12">
        <f>F115/G115</f>
        <v/>
      </c>
      <c r="I115" s="6">
        <f>'02_Inputs'!G115</f>
        <v/>
      </c>
      <c r="J115" s="12">
        <f>H115*I115</f>
        <v/>
      </c>
      <c r="K115" s="6">
        <f>'02_Inputs'!H115</f>
        <v/>
      </c>
      <c r="L115" s="12">
        <f>J115*K115</f>
        <v/>
      </c>
      <c r="M115" s="12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1">
        <f>L115*1000*AA115*86400</f>
        <v/>
      </c>
      <c r="AC115" s="11">
        <f>AB115*365</f>
        <v/>
      </c>
    </row>
    <row r="116">
      <c r="A116" s="11">
        <f>'02_Inputs'!A116</f>
        <v/>
      </c>
      <c r="B116" s="11">
        <f>'02_Inputs'!B116</f>
        <v/>
      </c>
      <c r="C116" s="11">
        <f>'02_Inputs'!C116</f>
        <v/>
      </c>
      <c r="D116" s="12">
        <f>'02_Inputs'!D116</f>
        <v/>
      </c>
      <c r="E116" s="6">
        <f>'02_Inputs'!E116</f>
        <v/>
      </c>
      <c r="F116" s="12">
        <f>D116*E116</f>
        <v/>
      </c>
      <c r="G116" s="11">
        <f>'02_Inputs'!F116</f>
        <v/>
      </c>
      <c r="H116" s="12">
        <f>F116/G116</f>
        <v/>
      </c>
      <c r="I116" s="6">
        <f>'02_Inputs'!G116</f>
        <v/>
      </c>
      <c r="J116" s="12">
        <f>H116*I116</f>
        <v/>
      </c>
      <c r="K116" s="6">
        <f>'02_Inputs'!H116</f>
        <v/>
      </c>
      <c r="L116" s="12">
        <f>J116*K116</f>
        <v/>
      </c>
      <c r="M116" s="12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1">
        <f>L116*1000*AA116*86400</f>
        <v/>
      </c>
      <c r="AC116" s="11">
        <f>AB116*365</f>
        <v/>
      </c>
    </row>
    <row r="117">
      <c r="A117" s="11">
        <f>'02_Inputs'!A117</f>
        <v/>
      </c>
      <c r="B117" s="11">
        <f>'02_Inputs'!B117</f>
        <v/>
      </c>
      <c r="C117" s="11">
        <f>'02_Inputs'!C117</f>
        <v/>
      </c>
      <c r="D117" s="12">
        <f>'02_Inputs'!D117</f>
        <v/>
      </c>
      <c r="E117" s="6">
        <f>'02_Inputs'!E117</f>
        <v/>
      </c>
      <c r="F117" s="12">
        <f>D117*E117</f>
        <v/>
      </c>
      <c r="G117" s="11">
        <f>'02_Inputs'!F117</f>
        <v/>
      </c>
      <c r="H117" s="12">
        <f>F117/G117</f>
        <v/>
      </c>
      <c r="I117" s="6">
        <f>'02_Inputs'!G117</f>
        <v/>
      </c>
      <c r="J117" s="12">
        <f>H117*I117</f>
        <v/>
      </c>
      <c r="K117" s="6">
        <f>'02_Inputs'!H117</f>
        <v/>
      </c>
      <c r="L117" s="12">
        <f>J117*K117</f>
        <v/>
      </c>
      <c r="M117" s="12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1">
        <f>L117*1000*AA117*86400</f>
        <v/>
      </c>
      <c r="AC117" s="11">
        <f>AB117*365</f>
        <v/>
      </c>
    </row>
    <row r="118">
      <c r="A118" s="11">
        <f>'02_Inputs'!A118</f>
        <v/>
      </c>
      <c r="B118" s="11">
        <f>'02_Inputs'!B118</f>
        <v/>
      </c>
      <c r="C118" s="11">
        <f>'02_Inputs'!C118</f>
        <v/>
      </c>
      <c r="D118" s="12">
        <f>'02_Inputs'!D118</f>
        <v/>
      </c>
      <c r="E118" s="6">
        <f>'02_Inputs'!E118</f>
        <v/>
      </c>
      <c r="F118" s="12">
        <f>D118*E118</f>
        <v/>
      </c>
      <c r="G118" s="11">
        <f>'02_Inputs'!F118</f>
        <v/>
      </c>
      <c r="H118" s="12">
        <f>F118/G118</f>
        <v/>
      </c>
      <c r="I118" s="6">
        <f>'02_Inputs'!G118</f>
        <v/>
      </c>
      <c r="J118" s="12">
        <f>H118*I118</f>
        <v/>
      </c>
      <c r="K118" s="6">
        <f>'02_Inputs'!H118</f>
        <v/>
      </c>
      <c r="L118" s="12">
        <f>J118*K118</f>
        <v/>
      </c>
      <c r="M118" s="12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1">
        <f>L118*1000*AA118*86400</f>
        <v/>
      </c>
      <c r="AC118" s="11">
        <f>AB118*365</f>
        <v/>
      </c>
    </row>
    <row r="119">
      <c r="A119" s="11">
        <f>'02_Inputs'!A119</f>
        <v/>
      </c>
      <c r="B119" s="11">
        <f>'02_Inputs'!B119</f>
        <v/>
      </c>
      <c r="C119" s="11">
        <f>'02_Inputs'!C119</f>
        <v/>
      </c>
      <c r="D119" s="12">
        <f>'02_Inputs'!D119</f>
        <v/>
      </c>
      <c r="E119" s="6">
        <f>'02_Inputs'!E119</f>
        <v/>
      </c>
      <c r="F119" s="12">
        <f>D119*E119</f>
        <v/>
      </c>
      <c r="G119" s="11">
        <f>'02_Inputs'!F119</f>
        <v/>
      </c>
      <c r="H119" s="12">
        <f>F119/G119</f>
        <v/>
      </c>
      <c r="I119" s="6">
        <f>'02_Inputs'!G119</f>
        <v/>
      </c>
      <c r="J119" s="12">
        <f>H119*I119</f>
        <v/>
      </c>
      <c r="K119" s="6">
        <f>'02_Inputs'!H119</f>
        <v/>
      </c>
      <c r="L119" s="12">
        <f>J119*K119</f>
        <v/>
      </c>
      <c r="M119" s="12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1">
        <f>L119*1000*AA119*86400</f>
        <v/>
      </c>
      <c r="AC119" s="11">
        <f>AB119*365</f>
        <v/>
      </c>
    </row>
    <row r="120">
      <c r="A120" s="11">
        <f>'02_Inputs'!A120</f>
        <v/>
      </c>
      <c r="B120" s="11">
        <f>'02_Inputs'!B120</f>
        <v/>
      </c>
      <c r="C120" s="11">
        <f>'02_Inputs'!C120</f>
        <v/>
      </c>
      <c r="D120" s="12">
        <f>'02_Inputs'!D120</f>
        <v/>
      </c>
      <c r="E120" s="6">
        <f>'02_Inputs'!E120</f>
        <v/>
      </c>
      <c r="F120" s="12">
        <f>D120*E120</f>
        <v/>
      </c>
      <c r="G120" s="11">
        <f>'02_Inputs'!F120</f>
        <v/>
      </c>
      <c r="H120" s="12">
        <f>F120/G120</f>
        <v/>
      </c>
      <c r="I120" s="6">
        <f>'02_Inputs'!G120</f>
        <v/>
      </c>
      <c r="J120" s="12">
        <f>H120*I120</f>
        <v/>
      </c>
      <c r="K120" s="6">
        <f>'02_Inputs'!H120</f>
        <v/>
      </c>
      <c r="L120" s="12">
        <f>J120*K120</f>
        <v/>
      </c>
      <c r="M120" s="12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1">
        <f>L120*1000*AA120*86400</f>
        <v/>
      </c>
      <c r="AC120" s="11">
        <f>AB120*365</f>
        <v/>
      </c>
    </row>
    <row r="121">
      <c r="A121" s="11">
        <f>'02_Inputs'!A121</f>
        <v/>
      </c>
      <c r="B121" s="11">
        <f>'02_Inputs'!B121</f>
        <v/>
      </c>
      <c r="C121" s="11">
        <f>'02_Inputs'!C121</f>
        <v/>
      </c>
      <c r="D121" s="12">
        <f>'02_Inputs'!D121</f>
        <v/>
      </c>
      <c r="E121" s="6">
        <f>'02_Inputs'!E121</f>
        <v/>
      </c>
      <c r="F121" s="12">
        <f>D121*E121</f>
        <v/>
      </c>
      <c r="G121" s="11">
        <f>'02_Inputs'!F121</f>
        <v/>
      </c>
      <c r="H121" s="12">
        <f>F121/G121</f>
        <v/>
      </c>
      <c r="I121" s="6">
        <f>'02_Inputs'!G121</f>
        <v/>
      </c>
      <c r="J121" s="12">
        <f>H121*I121</f>
        <v/>
      </c>
      <c r="K121" s="6">
        <f>'02_Inputs'!H121</f>
        <v/>
      </c>
      <c r="L121" s="12">
        <f>J121*K121</f>
        <v/>
      </c>
      <c r="M121" s="12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1">
        <f>L121*1000*AA121*86400</f>
        <v/>
      </c>
      <c r="AC121" s="11">
        <f>AB121*365</f>
        <v/>
      </c>
    </row>
    <row r="122">
      <c r="A122" s="11">
        <f>'02_Inputs'!A122</f>
        <v/>
      </c>
      <c r="B122" s="11">
        <f>'02_Inputs'!B122</f>
        <v/>
      </c>
      <c r="C122" s="11">
        <f>'02_Inputs'!C122</f>
        <v/>
      </c>
      <c r="D122" s="12">
        <f>'02_Inputs'!D122</f>
        <v/>
      </c>
      <c r="E122" s="6">
        <f>'02_Inputs'!E122</f>
        <v/>
      </c>
      <c r="F122" s="12">
        <f>D122*E122</f>
        <v/>
      </c>
      <c r="G122" s="11">
        <f>'02_Inputs'!F122</f>
        <v/>
      </c>
      <c r="H122" s="12">
        <f>F122/G122</f>
        <v/>
      </c>
      <c r="I122" s="6">
        <f>'02_Inputs'!G122</f>
        <v/>
      </c>
      <c r="J122" s="12">
        <f>H122*I122</f>
        <v/>
      </c>
      <c r="K122" s="6">
        <f>'02_Inputs'!H122</f>
        <v/>
      </c>
      <c r="L122" s="12">
        <f>J122*K122</f>
        <v/>
      </c>
      <c r="M122" s="12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1">
        <f>L122*1000*AA122*86400</f>
        <v/>
      </c>
      <c r="AC122" s="11">
        <f>AB122*365</f>
        <v/>
      </c>
    </row>
    <row r="123">
      <c r="A123" s="11">
        <f>'02_Inputs'!A123</f>
        <v/>
      </c>
      <c r="B123" s="11">
        <f>'02_Inputs'!B123</f>
        <v/>
      </c>
      <c r="C123" s="11">
        <f>'02_Inputs'!C123</f>
        <v/>
      </c>
      <c r="D123" s="12">
        <f>'02_Inputs'!D123</f>
        <v/>
      </c>
      <c r="E123" s="6">
        <f>'02_Inputs'!E123</f>
        <v/>
      </c>
      <c r="F123" s="12">
        <f>D123*E123</f>
        <v/>
      </c>
      <c r="G123" s="11">
        <f>'02_Inputs'!F123</f>
        <v/>
      </c>
      <c r="H123" s="12">
        <f>F123/G123</f>
        <v/>
      </c>
      <c r="I123" s="6">
        <f>'02_Inputs'!G123</f>
        <v/>
      </c>
      <c r="J123" s="12">
        <f>H123*I123</f>
        <v/>
      </c>
      <c r="K123" s="6">
        <f>'02_Inputs'!H123</f>
        <v/>
      </c>
      <c r="L123" s="12">
        <f>J123*K123</f>
        <v/>
      </c>
      <c r="M123" s="12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1">
        <f>L123*1000*AA123*86400</f>
        <v/>
      </c>
      <c r="AC123" s="11">
        <f>AB123*365</f>
        <v/>
      </c>
    </row>
    <row r="124">
      <c r="A124" s="11">
        <f>'02_Inputs'!A124</f>
        <v/>
      </c>
      <c r="B124" s="11">
        <f>'02_Inputs'!B124</f>
        <v/>
      </c>
      <c r="C124" s="11">
        <f>'02_Inputs'!C124</f>
        <v/>
      </c>
      <c r="D124" s="12">
        <f>'02_Inputs'!D124</f>
        <v/>
      </c>
      <c r="E124" s="6">
        <f>'02_Inputs'!E124</f>
        <v/>
      </c>
      <c r="F124" s="12">
        <f>D124*E124</f>
        <v/>
      </c>
      <c r="G124" s="11">
        <f>'02_Inputs'!F124</f>
        <v/>
      </c>
      <c r="H124" s="12">
        <f>F124/G124</f>
        <v/>
      </c>
      <c r="I124" s="6">
        <f>'02_Inputs'!G124</f>
        <v/>
      </c>
      <c r="J124" s="12">
        <f>H124*I124</f>
        <v/>
      </c>
      <c r="K124" s="6">
        <f>'02_Inputs'!H124</f>
        <v/>
      </c>
      <c r="L124" s="12">
        <f>J124*K124</f>
        <v/>
      </c>
      <c r="M124" s="12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1">
        <f>L124*1000*AA124*86400</f>
        <v/>
      </c>
      <c r="AC124" s="11">
        <f>AB124*365</f>
        <v/>
      </c>
    </row>
    <row r="125">
      <c r="A125" s="11">
        <f>'02_Inputs'!A125</f>
        <v/>
      </c>
      <c r="B125" s="11">
        <f>'02_Inputs'!B125</f>
        <v/>
      </c>
      <c r="C125" s="11">
        <f>'02_Inputs'!C125</f>
        <v/>
      </c>
      <c r="D125" s="12">
        <f>'02_Inputs'!D125</f>
        <v/>
      </c>
      <c r="E125" s="6">
        <f>'02_Inputs'!E125</f>
        <v/>
      </c>
      <c r="F125" s="12">
        <f>D125*E125</f>
        <v/>
      </c>
      <c r="G125" s="11">
        <f>'02_Inputs'!F125</f>
        <v/>
      </c>
      <c r="H125" s="12">
        <f>F125/G125</f>
        <v/>
      </c>
      <c r="I125" s="6">
        <f>'02_Inputs'!G125</f>
        <v/>
      </c>
      <c r="J125" s="12">
        <f>H125*I125</f>
        <v/>
      </c>
      <c r="K125" s="6">
        <f>'02_Inputs'!H125</f>
        <v/>
      </c>
      <c r="L125" s="12">
        <f>J125*K125</f>
        <v/>
      </c>
      <c r="M125" s="12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1">
        <f>L125*1000*AA125*86400</f>
        <v/>
      </c>
      <c r="AC125" s="11">
        <f>AB125*365</f>
        <v/>
      </c>
    </row>
    <row r="126">
      <c r="A126" s="11">
        <f>'02_Inputs'!A126</f>
        <v/>
      </c>
      <c r="B126" s="11">
        <f>'02_Inputs'!B126</f>
        <v/>
      </c>
      <c r="C126" s="11">
        <f>'02_Inputs'!C126</f>
        <v/>
      </c>
      <c r="D126" s="12">
        <f>'02_Inputs'!D126</f>
        <v/>
      </c>
      <c r="E126" s="6">
        <f>'02_Inputs'!E126</f>
        <v/>
      </c>
      <c r="F126" s="12">
        <f>D126*E126</f>
        <v/>
      </c>
      <c r="G126" s="11">
        <f>'02_Inputs'!F126</f>
        <v/>
      </c>
      <c r="H126" s="12">
        <f>F126/G126</f>
        <v/>
      </c>
      <c r="I126" s="6">
        <f>'02_Inputs'!G126</f>
        <v/>
      </c>
      <c r="J126" s="12">
        <f>H126*I126</f>
        <v/>
      </c>
      <c r="K126" s="6">
        <f>'02_Inputs'!H126</f>
        <v/>
      </c>
      <c r="L126" s="12">
        <f>J126*K126</f>
        <v/>
      </c>
      <c r="M126" s="12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1">
        <f>L126*1000*AA126*86400</f>
        <v/>
      </c>
      <c r="AC126" s="11">
        <f>AB126*365</f>
        <v/>
      </c>
    </row>
    <row r="127">
      <c r="A127" s="11">
        <f>'02_Inputs'!A127</f>
        <v/>
      </c>
      <c r="B127" s="11">
        <f>'02_Inputs'!B127</f>
        <v/>
      </c>
      <c r="C127" s="11">
        <f>'02_Inputs'!C127</f>
        <v/>
      </c>
      <c r="D127" s="12">
        <f>'02_Inputs'!D127</f>
        <v/>
      </c>
      <c r="E127" s="6">
        <f>'02_Inputs'!E127</f>
        <v/>
      </c>
      <c r="F127" s="12">
        <f>D127*E127</f>
        <v/>
      </c>
      <c r="G127" s="11">
        <f>'02_Inputs'!F127</f>
        <v/>
      </c>
      <c r="H127" s="12">
        <f>F127/G127</f>
        <v/>
      </c>
      <c r="I127" s="6">
        <f>'02_Inputs'!G127</f>
        <v/>
      </c>
      <c r="J127" s="12">
        <f>H127*I127</f>
        <v/>
      </c>
      <c r="K127" s="6">
        <f>'02_Inputs'!H127</f>
        <v/>
      </c>
      <c r="L127" s="12">
        <f>J127*K127</f>
        <v/>
      </c>
      <c r="M127" s="12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1">
        <f>L127*1000*AA127*86400</f>
        <v/>
      </c>
      <c r="AC127" s="11">
        <f>AB127*365</f>
        <v/>
      </c>
    </row>
    <row r="128">
      <c r="A128" s="11">
        <f>'02_Inputs'!A128</f>
        <v/>
      </c>
      <c r="B128" s="11">
        <f>'02_Inputs'!B128</f>
        <v/>
      </c>
      <c r="C128" s="11">
        <f>'02_Inputs'!C128</f>
        <v/>
      </c>
      <c r="D128" s="12">
        <f>'02_Inputs'!D128</f>
        <v/>
      </c>
      <c r="E128" s="6">
        <f>'02_Inputs'!E128</f>
        <v/>
      </c>
      <c r="F128" s="12">
        <f>D128*E128</f>
        <v/>
      </c>
      <c r="G128" s="11">
        <f>'02_Inputs'!F128</f>
        <v/>
      </c>
      <c r="H128" s="12">
        <f>F128/G128</f>
        <v/>
      </c>
      <c r="I128" s="6">
        <f>'02_Inputs'!G128</f>
        <v/>
      </c>
      <c r="J128" s="12">
        <f>H128*I128</f>
        <v/>
      </c>
      <c r="K128" s="6">
        <f>'02_Inputs'!H128</f>
        <v/>
      </c>
      <c r="L128" s="12">
        <f>J128*K128</f>
        <v/>
      </c>
      <c r="M128" s="12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1">
        <f>L128*1000*AA128*86400</f>
        <v/>
      </c>
      <c r="AC128" s="11">
        <f>AB128*365</f>
        <v/>
      </c>
    </row>
    <row r="129">
      <c r="A129" s="11">
        <f>'02_Inputs'!A129</f>
        <v/>
      </c>
      <c r="B129" s="11">
        <f>'02_Inputs'!B129</f>
        <v/>
      </c>
      <c r="C129" s="11">
        <f>'02_Inputs'!C129</f>
        <v/>
      </c>
      <c r="D129" s="12">
        <f>'02_Inputs'!D129</f>
        <v/>
      </c>
      <c r="E129" s="6">
        <f>'02_Inputs'!E129</f>
        <v/>
      </c>
      <c r="F129" s="12">
        <f>D129*E129</f>
        <v/>
      </c>
      <c r="G129" s="11">
        <f>'02_Inputs'!F129</f>
        <v/>
      </c>
      <c r="H129" s="12">
        <f>F129/G129</f>
        <v/>
      </c>
      <c r="I129" s="6">
        <f>'02_Inputs'!G129</f>
        <v/>
      </c>
      <c r="J129" s="12">
        <f>H129*I129</f>
        <v/>
      </c>
      <c r="K129" s="6">
        <f>'02_Inputs'!H129</f>
        <v/>
      </c>
      <c r="L129" s="12">
        <f>J129*K129</f>
        <v/>
      </c>
      <c r="M129" s="12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1">
        <f>L129*1000*AA129*86400</f>
        <v/>
      </c>
      <c r="AC129" s="11">
        <f>AB129*365</f>
        <v/>
      </c>
    </row>
    <row r="130">
      <c r="A130" s="11">
        <f>'02_Inputs'!A130</f>
        <v/>
      </c>
      <c r="B130" s="11">
        <f>'02_Inputs'!B130</f>
        <v/>
      </c>
      <c r="C130" s="11">
        <f>'02_Inputs'!C130</f>
        <v/>
      </c>
      <c r="D130" s="12">
        <f>'02_Inputs'!D130</f>
        <v/>
      </c>
      <c r="E130" s="6">
        <f>'02_Inputs'!E130</f>
        <v/>
      </c>
      <c r="F130" s="12">
        <f>D130*E130</f>
        <v/>
      </c>
      <c r="G130" s="11">
        <f>'02_Inputs'!F130</f>
        <v/>
      </c>
      <c r="H130" s="12">
        <f>F130/G130</f>
        <v/>
      </c>
      <c r="I130" s="6">
        <f>'02_Inputs'!G130</f>
        <v/>
      </c>
      <c r="J130" s="12">
        <f>H130*I130</f>
        <v/>
      </c>
      <c r="K130" s="6">
        <f>'02_Inputs'!H130</f>
        <v/>
      </c>
      <c r="L130" s="12">
        <f>J130*K130</f>
        <v/>
      </c>
      <c r="M130" s="12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1">
        <f>L130*1000*AA130*86400</f>
        <v/>
      </c>
      <c r="AC130" s="11">
        <f>AB130*365</f>
        <v/>
      </c>
    </row>
    <row r="131">
      <c r="A131" s="11">
        <f>'02_Inputs'!A131</f>
        <v/>
      </c>
      <c r="B131" s="11">
        <f>'02_Inputs'!B131</f>
        <v/>
      </c>
      <c r="C131" s="11">
        <f>'02_Inputs'!C131</f>
        <v/>
      </c>
      <c r="D131" s="12">
        <f>'02_Inputs'!D131</f>
        <v/>
      </c>
      <c r="E131" s="6">
        <f>'02_Inputs'!E131</f>
        <v/>
      </c>
      <c r="F131" s="12">
        <f>D131*E131</f>
        <v/>
      </c>
      <c r="G131" s="11">
        <f>'02_Inputs'!F131</f>
        <v/>
      </c>
      <c r="H131" s="12">
        <f>F131/G131</f>
        <v/>
      </c>
      <c r="I131" s="6">
        <f>'02_Inputs'!G131</f>
        <v/>
      </c>
      <c r="J131" s="12">
        <f>H131*I131</f>
        <v/>
      </c>
      <c r="K131" s="6">
        <f>'02_Inputs'!H131</f>
        <v/>
      </c>
      <c r="L131" s="12">
        <f>J131*K131</f>
        <v/>
      </c>
      <c r="M131" s="12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1">
        <f>L131*1000*AA131*86400</f>
        <v/>
      </c>
      <c r="AC131" s="11">
        <f>AB131*365</f>
        <v/>
      </c>
    </row>
    <row r="132">
      <c r="A132" s="11">
        <f>'02_Inputs'!A132</f>
        <v/>
      </c>
      <c r="B132" s="11">
        <f>'02_Inputs'!B132</f>
        <v/>
      </c>
      <c r="C132" s="11">
        <f>'02_Inputs'!C132</f>
        <v/>
      </c>
      <c r="D132" s="12">
        <f>'02_Inputs'!D132</f>
        <v/>
      </c>
      <c r="E132" s="6">
        <f>'02_Inputs'!E132</f>
        <v/>
      </c>
      <c r="F132" s="12">
        <f>D132*E132</f>
        <v/>
      </c>
      <c r="G132" s="11">
        <f>'02_Inputs'!F132</f>
        <v/>
      </c>
      <c r="H132" s="12">
        <f>F132/G132</f>
        <v/>
      </c>
      <c r="I132" s="6">
        <f>'02_Inputs'!G132</f>
        <v/>
      </c>
      <c r="J132" s="12">
        <f>H132*I132</f>
        <v/>
      </c>
      <c r="K132" s="6">
        <f>'02_Inputs'!H132</f>
        <v/>
      </c>
      <c r="L132" s="12">
        <f>J132*K132</f>
        <v/>
      </c>
      <c r="M132" s="12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1">
        <f>L132*1000*AA132*86400</f>
        <v/>
      </c>
      <c r="AC132" s="11">
        <f>AB132*365</f>
        <v/>
      </c>
    </row>
    <row r="133">
      <c r="A133" s="11">
        <f>'02_Inputs'!A133</f>
        <v/>
      </c>
      <c r="B133" s="11">
        <f>'02_Inputs'!B133</f>
        <v/>
      </c>
      <c r="C133" s="11">
        <f>'02_Inputs'!C133</f>
        <v/>
      </c>
      <c r="D133" s="12">
        <f>'02_Inputs'!D133</f>
        <v/>
      </c>
      <c r="E133" s="6">
        <f>'02_Inputs'!E133</f>
        <v/>
      </c>
      <c r="F133" s="12">
        <f>D133*E133</f>
        <v/>
      </c>
      <c r="G133" s="11">
        <f>'02_Inputs'!F133</f>
        <v/>
      </c>
      <c r="H133" s="12">
        <f>F133/G133</f>
        <v/>
      </c>
      <c r="I133" s="6">
        <f>'02_Inputs'!G133</f>
        <v/>
      </c>
      <c r="J133" s="12">
        <f>H133*I133</f>
        <v/>
      </c>
      <c r="K133" s="6">
        <f>'02_Inputs'!H133</f>
        <v/>
      </c>
      <c r="L133" s="12">
        <f>J133*K133</f>
        <v/>
      </c>
      <c r="M133" s="12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1">
        <f>L133*1000*AA133*86400</f>
        <v/>
      </c>
      <c r="AC133" s="11">
        <f>AB133*365</f>
        <v/>
      </c>
    </row>
    <row r="134">
      <c r="A134" s="11">
        <f>'02_Inputs'!A134</f>
        <v/>
      </c>
      <c r="B134" s="11">
        <f>'02_Inputs'!B134</f>
        <v/>
      </c>
      <c r="C134" s="11">
        <f>'02_Inputs'!C134</f>
        <v/>
      </c>
      <c r="D134" s="12">
        <f>'02_Inputs'!D134</f>
        <v/>
      </c>
      <c r="E134" s="6">
        <f>'02_Inputs'!E134</f>
        <v/>
      </c>
      <c r="F134" s="12">
        <f>D134*E134</f>
        <v/>
      </c>
      <c r="G134" s="11">
        <f>'02_Inputs'!F134</f>
        <v/>
      </c>
      <c r="H134" s="12">
        <f>F134/G134</f>
        <v/>
      </c>
      <c r="I134" s="6">
        <f>'02_Inputs'!G134</f>
        <v/>
      </c>
      <c r="J134" s="12">
        <f>H134*I134</f>
        <v/>
      </c>
      <c r="K134" s="6">
        <f>'02_Inputs'!H134</f>
        <v/>
      </c>
      <c r="L134" s="12">
        <f>J134*K134</f>
        <v/>
      </c>
      <c r="M134" s="12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1">
        <f>L134*1000*AA134*86400</f>
        <v/>
      </c>
      <c r="AC134" s="11">
        <f>AB134*365</f>
        <v/>
      </c>
    </row>
    <row r="135">
      <c r="A135" s="11">
        <f>'02_Inputs'!A135</f>
        <v/>
      </c>
      <c r="B135" s="11">
        <f>'02_Inputs'!B135</f>
        <v/>
      </c>
      <c r="C135" s="11">
        <f>'02_Inputs'!C135</f>
        <v/>
      </c>
      <c r="D135" s="12">
        <f>'02_Inputs'!D135</f>
        <v/>
      </c>
      <c r="E135" s="6">
        <f>'02_Inputs'!E135</f>
        <v/>
      </c>
      <c r="F135" s="12">
        <f>D135*E135</f>
        <v/>
      </c>
      <c r="G135" s="11">
        <f>'02_Inputs'!F135</f>
        <v/>
      </c>
      <c r="H135" s="12">
        <f>F135/G135</f>
        <v/>
      </c>
      <c r="I135" s="6">
        <f>'02_Inputs'!G135</f>
        <v/>
      </c>
      <c r="J135" s="12">
        <f>H135*I135</f>
        <v/>
      </c>
      <c r="K135" s="6">
        <f>'02_Inputs'!H135</f>
        <v/>
      </c>
      <c r="L135" s="12">
        <f>J135*K135</f>
        <v/>
      </c>
      <c r="M135" s="12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1">
        <f>L135*1000*AA135*86400</f>
        <v/>
      </c>
      <c r="AC135" s="11">
        <f>AB135*365</f>
        <v/>
      </c>
    </row>
    <row r="136">
      <c r="A136" s="11">
        <f>'02_Inputs'!A136</f>
        <v/>
      </c>
      <c r="B136" s="11">
        <f>'02_Inputs'!B136</f>
        <v/>
      </c>
      <c r="C136" s="11">
        <f>'02_Inputs'!C136</f>
        <v/>
      </c>
      <c r="D136" s="12">
        <f>'02_Inputs'!D136</f>
        <v/>
      </c>
      <c r="E136" s="6">
        <f>'02_Inputs'!E136</f>
        <v/>
      </c>
      <c r="F136" s="12">
        <f>D136*E136</f>
        <v/>
      </c>
      <c r="G136" s="11">
        <f>'02_Inputs'!F136</f>
        <v/>
      </c>
      <c r="H136" s="12">
        <f>F136/G136</f>
        <v/>
      </c>
      <c r="I136" s="6">
        <f>'02_Inputs'!G136</f>
        <v/>
      </c>
      <c r="J136" s="12">
        <f>H136*I136</f>
        <v/>
      </c>
      <c r="K136" s="6">
        <f>'02_Inputs'!H136</f>
        <v/>
      </c>
      <c r="L136" s="12">
        <f>J136*K136</f>
        <v/>
      </c>
      <c r="M136" s="12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1">
        <f>L136*1000*AA136*86400</f>
        <v/>
      </c>
      <c r="AC136" s="11">
        <f>AB136*365</f>
        <v/>
      </c>
    </row>
    <row r="137">
      <c r="A137" s="11">
        <f>'02_Inputs'!A137</f>
        <v/>
      </c>
      <c r="B137" s="11">
        <f>'02_Inputs'!B137</f>
        <v/>
      </c>
      <c r="C137" s="11">
        <f>'02_Inputs'!C137</f>
        <v/>
      </c>
      <c r="D137" s="12">
        <f>'02_Inputs'!D137</f>
        <v/>
      </c>
      <c r="E137" s="6">
        <f>'02_Inputs'!E137</f>
        <v/>
      </c>
      <c r="F137" s="12">
        <f>D137*E137</f>
        <v/>
      </c>
      <c r="G137" s="11">
        <f>'02_Inputs'!F137</f>
        <v/>
      </c>
      <c r="H137" s="12">
        <f>F137/G137</f>
        <v/>
      </c>
      <c r="I137" s="6">
        <f>'02_Inputs'!G137</f>
        <v/>
      </c>
      <c r="J137" s="12">
        <f>H137*I137</f>
        <v/>
      </c>
      <c r="K137" s="6">
        <f>'02_Inputs'!H137</f>
        <v/>
      </c>
      <c r="L137" s="12">
        <f>J137*K137</f>
        <v/>
      </c>
      <c r="M137" s="12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1">
        <f>L137*1000*AA137*86400</f>
        <v/>
      </c>
      <c r="AC137" s="11">
        <f>AB137*365</f>
        <v/>
      </c>
    </row>
    <row r="138">
      <c r="A138" s="11">
        <f>'02_Inputs'!A138</f>
        <v/>
      </c>
      <c r="B138" s="11">
        <f>'02_Inputs'!B138</f>
        <v/>
      </c>
      <c r="C138" s="11">
        <f>'02_Inputs'!C138</f>
        <v/>
      </c>
      <c r="D138" s="12">
        <f>'02_Inputs'!D138</f>
        <v/>
      </c>
      <c r="E138" s="6">
        <f>'02_Inputs'!E138</f>
        <v/>
      </c>
      <c r="F138" s="12">
        <f>D138*E138</f>
        <v/>
      </c>
      <c r="G138" s="11">
        <f>'02_Inputs'!F138</f>
        <v/>
      </c>
      <c r="H138" s="12">
        <f>F138/G138</f>
        <v/>
      </c>
      <c r="I138" s="6">
        <f>'02_Inputs'!G138</f>
        <v/>
      </c>
      <c r="J138" s="12">
        <f>H138*I138</f>
        <v/>
      </c>
      <c r="K138" s="6">
        <f>'02_Inputs'!H138</f>
        <v/>
      </c>
      <c r="L138" s="12">
        <f>J138*K138</f>
        <v/>
      </c>
      <c r="M138" s="12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1">
        <f>L138*1000*AA138*86400</f>
        <v/>
      </c>
      <c r="AC138" s="11">
        <f>AB138*365</f>
        <v/>
      </c>
    </row>
    <row r="139">
      <c r="A139" s="11">
        <f>'02_Inputs'!A139</f>
        <v/>
      </c>
      <c r="B139" s="11">
        <f>'02_Inputs'!B139</f>
        <v/>
      </c>
      <c r="C139" s="11">
        <f>'02_Inputs'!C139</f>
        <v/>
      </c>
      <c r="D139" s="12">
        <f>'02_Inputs'!D139</f>
        <v/>
      </c>
      <c r="E139" s="6">
        <f>'02_Inputs'!E139</f>
        <v/>
      </c>
      <c r="F139" s="12">
        <f>D139*E139</f>
        <v/>
      </c>
      <c r="G139" s="11">
        <f>'02_Inputs'!F139</f>
        <v/>
      </c>
      <c r="H139" s="12">
        <f>F139/G139</f>
        <v/>
      </c>
      <c r="I139" s="6">
        <f>'02_Inputs'!G139</f>
        <v/>
      </c>
      <c r="J139" s="12">
        <f>H139*I139</f>
        <v/>
      </c>
      <c r="K139" s="6">
        <f>'02_Inputs'!H139</f>
        <v/>
      </c>
      <c r="L139" s="12">
        <f>J139*K139</f>
        <v/>
      </c>
      <c r="M139" s="12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1">
        <f>L139*1000*AA139*86400</f>
        <v/>
      </c>
      <c r="AC139" s="11">
        <f>AB139*365</f>
        <v/>
      </c>
    </row>
    <row r="140">
      <c r="A140" s="11">
        <f>'02_Inputs'!A140</f>
        <v/>
      </c>
      <c r="B140" s="11">
        <f>'02_Inputs'!B140</f>
        <v/>
      </c>
      <c r="C140" s="11">
        <f>'02_Inputs'!C140</f>
        <v/>
      </c>
      <c r="D140" s="12">
        <f>'02_Inputs'!D140</f>
        <v/>
      </c>
      <c r="E140" s="6">
        <f>'02_Inputs'!E140</f>
        <v/>
      </c>
      <c r="F140" s="12">
        <f>D140*E140</f>
        <v/>
      </c>
      <c r="G140" s="11">
        <f>'02_Inputs'!F140</f>
        <v/>
      </c>
      <c r="H140" s="12">
        <f>F140/G140</f>
        <v/>
      </c>
      <c r="I140" s="6">
        <f>'02_Inputs'!G140</f>
        <v/>
      </c>
      <c r="J140" s="12">
        <f>H140*I140</f>
        <v/>
      </c>
      <c r="K140" s="6">
        <f>'02_Inputs'!H140</f>
        <v/>
      </c>
      <c r="L140" s="12">
        <f>J140*K140</f>
        <v/>
      </c>
      <c r="M140" s="12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1">
        <f>L140*1000*AA140*86400</f>
        <v/>
      </c>
      <c r="AC140" s="11">
        <f>AB140*365</f>
        <v/>
      </c>
    </row>
    <row r="141">
      <c r="A141" s="11">
        <f>'02_Inputs'!A141</f>
        <v/>
      </c>
      <c r="B141" s="11">
        <f>'02_Inputs'!B141</f>
        <v/>
      </c>
      <c r="C141" s="11">
        <f>'02_Inputs'!C141</f>
        <v/>
      </c>
      <c r="D141" s="12">
        <f>'02_Inputs'!D141</f>
        <v/>
      </c>
      <c r="E141" s="6">
        <f>'02_Inputs'!E141</f>
        <v/>
      </c>
      <c r="F141" s="12">
        <f>D141*E141</f>
        <v/>
      </c>
      <c r="G141" s="11">
        <f>'02_Inputs'!F141</f>
        <v/>
      </c>
      <c r="H141" s="12">
        <f>F141/G141</f>
        <v/>
      </c>
      <c r="I141" s="6">
        <f>'02_Inputs'!G141</f>
        <v/>
      </c>
      <c r="J141" s="12">
        <f>H141*I141</f>
        <v/>
      </c>
      <c r="K141" s="6">
        <f>'02_Inputs'!H141</f>
        <v/>
      </c>
      <c r="L141" s="12">
        <f>J141*K141</f>
        <v/>
      </c>
      <c r="M141" s="12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1">
        <f>L141*1000*AA141*86400</f>
        <v/>
      </c>
      <c r="AC141" s="11">
        <f>AB141*365</f>
        <v/>
      </c>
    </row>
    <row r="142">
      <c r="A142" s="11">
        <f>'02_Inputs'!A142</f>
        <v/>
      </c>
      <c r="B142" s="11">
        <f>'02_Inputs'!B142</f>
        <v/>
      </c>
      <c r="C142" s="11">
        <f>'02_Inputs'!C142</f>
        <v/>
      </c>
      <c r="D142" s="12">
        <f>'02_Inputs'!D142</f>
        <v/>
      </c>
      <c r="E142" s="6">
        <f>'02_Inputs'!E142</f>
        <v/>
      </c>
      <c r="F142" s="12">
        <f>D142*E142</f>
        <v/>
      </c>
      <c r="G142" s="11">
        <f>'02_Inputs'!F142</f>
        <v/>
      </c>
      <c r="H142" s="12">
        <f>F142/G142</f>
        <v/>
      </c>
      <c r="I142" s="6">
        <f>'02_Inputs'!G142</f>
        <v/>
      </c>
      <c r="J142" s="12">
        <f>H142*I142</f>
        <v/>
      </c>
      <c r="K142" s="6">
        <f>'02_Inputs'!H142</f>
        <v/>
      </c>
      <c r="L142" s="12">
        <f>J142*K142</f>
        <v/>
      </c>
      <c r="M142" s="12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1">
        <f>L142*1000*AA142*86400</f>
        <v/>
      </c>
      <c r="AC142" s="11">
        <f>AB142*365</f>
        <v/>
      </c>
    </row>
    <row r="143">
      <c r="A143" s="11">
        <f>'02_Inputs'!A143</f>
        <v/>
      </c>
      <c r="B143" s="11">
        <f>'02_Inputs'!B143</f>
        <v/>
      </c>
      <c r="C143" s="11">
        <f>'02_Inputs'!C143</f>
        <v/>
      </c>
      <c r="D143" s="12">
        <f>'02_Inputs'!D143</f>
        <v/>
      </c>
      <c r="E143" s="6">
        <f>'02_Inputs'!E143</f>
        <v/>
      </c>
      <c r="F143" s="12">
        <f>D143*E143</f>
        <v/>
      </c>
      <c r="G143" s="11">
        <f>'02_Inputs'!F143</f>
        <v/>
      </c>
      <c r="H143" s="12">
        <f>F143/G143</f>
        <v/>
      </c>
      <c r="I143" s="6">
        <f>'02_Inputs'!G143</f>
        <v/>
      </c>
      <c r="J143" s="12">
        <f>H143*I143</f>
        <v/>
      </c>
      <c r="K143" s="6">
        <f>'02_Inputs'!H143</f>
        <v/>
      </c>
      <c r="L143" s="12">
        <f>J143*K143</f>
        <v/>
      </c>
      <c r="M143" s="12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1">
        <f>L143*1000*AA143*86400</f>
        <v/>
      </c>
      <c r="AC143" s="11">
        <f>AB143*365</f>
        <v/>
      </c>
    </row>
    <row r="144">
      <c r="A144" s="11">
        <f>'02_Inputs'!A144</f>
        <v/>
      </c>
      <c r="B144" s="11">
        <f>'02_Inputs'!B144</f>
        <v/>
      </c>
      <c r="C144" s="11">
        <f>'02_Inputs'!C144</f>
        <v/>
      </c>
      <c r="D144" s="12">
        <f>'02_Inputs'!D144</f>
        <v/>
      </c>
      <c r="E144" s="6">
        <f>'02_Inputs'!E144</f>
        <v/>
      </c>
      <c r="F144" s="12">
        <f>D144*E144</f>
        <v/>
      </c>
      <c r="G144" s="11">
        <f>'02_Inputs'!F144</f>
        <v/>
      </c>
      <c r="H144" s="12">
        <f>F144/G144</f>
        <v/>
      </c>
      <c r="I144" s="6">
        <f>'02_Inputs'!G144</f>
        <v/>
      </c>
      <c r="J144" s="12">
        <f>H144*I144</f>
        <v/>
      </c>
      <c r="K144" s="6">
        <f>'02_Inputs'!H144</f>
        <v/>
      </c>
      <c r="L144" s="12">
        <f>J144*K144</f>
        <v/>
      </c>
      <c r="M144" s="12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1">
        <f>L144*1000*AA144*86400</f>
        <v/>
      </c>
      <c r="AC144" s="11">
        <f>AB144*365</f>
        <v/>
      </c>
    </row>
    <row r="145">
      <c r="A145" s="11">
        <f>'02_Inputs'!A145</f>
        <v/>
      </c>
      <c r="B145" s="11">
        <f>'02_Inputs'!B145</f>
        <v/>
      </c>
      <c r="C145" s="11">
        <f>'02_Inputs'!C145</f>
        <v/>
      </c>
      <c r="D145" s="12">
        <f>'02_Inputs'!D145</f>
        <v/>
      </c>
      <c r="E145" s="6">
        <f>'02_Inputs'!E145</f>
        <v/>
      </c>
      <c r="F145" s="12">
        <f>D145*E145</f>
        <v/>
      </c>
      <c r="G145" s="11">
        <f>'02_Inputs'!F145</f>
        <v/>
      </c>
      <c r="H145" s="12">
        <f>F145/G145</f>
        <v/>
      </c>
      <c r="I145" s="6">
        <f>'02_Inputs'!G145</f>
        <v/>
      </c>
      <c r="J145" s="12">
        <f>H145*I145</f>
        <v/>
      </c>
      <c r="K145" s="6">
        <f>'02_Inputs'!H145</f>
        <v/>
      </c>
      <c r="L145" s="12">
        <f>J145*K145</f>
        <v/>
      </c>
      <c r="M145" s="12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1">
        <f>L145*1000*AA145*86400</f>
        <v/>
      </c>
      <c r="AC145" s="11">
        <f>AB145*365</f>
        <v/>
      </c>
    </row>
    <row r="146">
      <c r="A146" s="11">
        <f>'02_Inputs'!A146</f>
        <v/>
      </c>
      <c r="B146" s="11">
        <f>'02_Inputs'!B146</f>
        <v/>
      </c>
      <c r="C146" s="11">
        <f>'02_Inputs'!C146</f>
        <v/>
      </c>
      <c r="D146" s="12">
        <f>'02_Inputs'!D146</f>
        <v/>
      </c>
      <c r="E146" s="6">
        <f>'02_Inputs'!E146</f>
        <v/>
      </c>
      <c r="F146" s="12">
        <f>D146*E146</f>
        <v/>
      </c>
      <c r="G146" s="11">
        <f>'02_Inputs'!F146</f>
        <v/>
      </c>
      <c r="H146" s="12">
        <f>F146/G146</f>
        <v/>
      </c>
      <c r="I146" s="6">
        <f>'02_Inputs'!G146</f>
        <v/>
      </c>
      <c r="J146" s="12">
        <f>H146*I146</f>
        <v/>
      </c>
      <c r="K146" s="6">
        <f>'02_Inputs'!H146</f>
        <v/>
      </c>
      <c r="L146" s="12">
        <f>J146*K146</f>
        <v/>
      </c>
      <c r="M146" s="12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1">
        <f>L146*1000*AA146*86400</f>
        <v/>
      </c>
      <c r="AC146" s="11">
        <f>AB146*365</f>
        <v/>
      </c>
    </row>
    <row r="147">
      <c r="A147" s="11">
        <f>'02_Inputs'!A147</f>
        <v/>
      </c>
      <c r="B147" s="11">
        <f>'02_Inputs'!B147</f>
        <v/>
      </c>
      <c r="C147" s="11">
        <f>'02_Inputs'!C147</f>
        <v/>
      </c>
      <c r="D147" s="12">
        <f>'02_Inputs'!D147</f>
        <v/>
      </c>
      <c r="E147" s="6">
        <f>'02_Inputs'!E147</f>
        <v/>
      </c>
      <c r="F147" s="12">
        <f>D147*E147</f>
        <v/>
      </c>
      <c r="G147" s="11">
        <f>'02_Inputs'!F147</f>
        <v/>
      </c>
      <c r="H147" s="12">
        <f>F147/G147</f>
        <v/>
      </c>
      <c r="I147" s="6">
        <f>'02_Inputs'!G147</f>
        <v/>
      </c>
      <c r="J147" s="12">
        <f>H147*I147</f>
        <v/>
      </c>
      <c r="K147" s="6">
        <f>'02_Inputs'!H147</f>
        <v/>
      </c>
      <c r="L147" s="12">
        <f>J147*K147</f>
        <v/>
      </c>
      <c r="M147" s="12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1">
        <f>L147*1000*AA147*86400</f>
        <v/>
      </c>
      <c r="AC147" s="11">
        <f>AB147*365</f>
        <v/>
      </c>
    </row>
    <row r="148">
      <c r="A148" s="11">
        <f>'02_Inputs'!A148</f>
        <v/>
      </c>
      <c r="B148" s="11">
        <f>'02_Inputs'!B148</f>
        <v/>
      </c>
      <c r="C148" s="11">
        <f>'02_Inputs'!C148</f>
        <v/>
      </c>
      <c r="D148" s="12">
        <f>'02_Inputs'!D148</f>
        <v/>
      </c>
      <c r="E148" s="6">
        <f>'02_Inputs'!E148</f>
        <v/>
      </c>
      <c r="F148" s="12">
        <f>D148*E148</f>
        <v/>
      </c>
      <c r="G148" s="11">
        <f>'02_Inputs'!F148</f>
        <v/>
      </c>
      <c r="H148" s="12">
        <f>F148/G148</f>
        <v/>
      </c>
      <c r="I148" s="6">
        <f>'02_Inputs'!G148</f>
        <v/>
      </c>
      <c r="J148" s="12">
        <f>H148*I148</f>
        <v/>
      </c>
      <c r="K148" s="6">
        <f>'02_Inputs'!H148</f>
        <v/>
      </c>
      <c r="L148" s="12">
        <f>J148*K148</f>
        <v/>
      </c>
      <c r="M148" s="12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1">
        <f>L148*1000*AA148*86400</f>
        <v/>
      </c>
      <c r="AC148" s="11">
        <f>AB148*365</f>
        <v/>
      </c>
    </row>
    <row r="149">
      <c r="A149" s="11">
        <f>'02_Inputs'!A149</f>
        <v/>
      </c>
      <c r="B149" s="11">
        <f>'02_Inputs'!B149</f>
        <v/>
      </c>
      <c r="C149" s="11">
        <f>'02_Inputs'!C149</f>
        <v/>
      </c>
      <c r="D149" s="12">
        <f>'02_Inputs'!D149</f>
        <v/>
      </c>
      <c r="E149" s="6">
        <f>'02_Inputs'!E149</f>
        <v/>
      </c>
      <c r="F149" s="12">
        <f>D149*E149</f>
        <v/>
      </c>
      <c r="G149" s="11">
        <f>'02_Inputs'!F149</f>
        <v/>
      </c>
      <c r="H149" s="12">
        <f>F149/G149</f>
        <v/>
      </c>
      <c r="I149" s="6">
        <f>'02_Inputs'!G149</f>
        <v/>
      </c>
      <c r="J149" s="12">
        <f>H149*I149</f>
        <v/>
      </c>
      <c r="K149" s="6">
        <f>'02_Inputs'!H149</f>
        <v/>
      </c>
      <c r="L149" s="12">
        <f>J149*K149</f>
        <v/>
      </c>
      <c r="M149" s="12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1">
        <f>L149*1000*AA149*86400</f>
        <v/>
      </c>
      <c r="AC149" s="11">
        <f>AB149*365</f>
        <v/>
      </c>
    </row>
    <row r="150">
      <c r="A150" s="11">
        <f>'02_Inputs'!A150</f>
        <v/>
      </c>
      <c r="B150" s="11">
        <f>'02_Inputs'!B150</f>
        <v/>
      </c>
      <c r="C150" s="11">
        <f>'02_Inputs'!C150</f>
        <v/>
      </c>
      <c r="D150" s="12">
        <f>'02_Inputs'!D150</f>
        <v/>
      </c>
      <c r="E150" s="6">
        <f>'02_Inputs'!E150</f>
        <v/>
      </c>
      <c r="F150" s="12">
        <f>D150*E150</f>
        <v/>
      </c>
      <c r="G150" s="11">
        <f>'02_Inputs'!F150</f>
        <v/>
      </c>
      <c r="H150" s="12">
        <f>F150/G150</f>
        <v/>
      </c>
      <c r="I150" s="6">
        <f>'02_Inputs'!G150</f>
        <v/>
      </c>
      <c r="J150" s="12">
        <f>H150*I150</f>
        <v/>
      </c>
      <c r="K150" s="6">
        <f>'02_Inputs'!H150</f>
        <v/>
      </c>
      <c r="L150" s="12">
        <f>J150*K150</f>
        <v/>
      </c>
      <c r="M150" s="12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1">
        <f>L150*1000*AA150*86400</f>
        <v/>
      </c>
      <c r="AC150" s="11">
        <f>AB150*365</f>
        <v/>
      </c>
    </row>
    <row r="151">
      <c r="A151" s="11">
        <f>'02_Inputs'!A151</f>
        <v/>
      </c>
      <c r="B151" s="11">
        <f>'02_Inputs'!B151</f>
        <v/>
      </c>
      <c r="C151" s="11">
        <f>'02_Inputs'!C151</f>
        <v/>
      </c>
      <c r="D151" s="12">
        <f>'02_Inputs'!D151</f>
        <v/>
      </c>
      <c r="E151" s="6">
        <f>'02_Inputs'!E151</f>
        <v/>
      </c>
      <c r="F151" s="12">
        <f>D151*E151</f>
        <v/>
      </c>
      <c r="G151" s="11">
        <f>'02_Inputs'!F151</f>
        <v/>
      </c>
      <c r="H151" s="12">
        <f>F151/G151</f>
        <v/>
      </c>
      <c r="I151" s="6">
        <f>'02_Inputs'!G151</f>
        <v/>
      </c>
      <c r="J151" s="12">
        <f>H151*I151</f>
        <v/>
      </c>
      <c r="K151" s="6">
        <f>'02_Inputs'!H151</f>
        <v/>
      </c>
      <c r="L151" s="12">
        <f>J151*K151</f>
        <v/>
      </c>
      <c r="M151" s="12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1">
        <f>L151*1000*AA151*86400</f>
        <v/>
      </c>
      <c r="AC151" s="11">
        <f>AB151*365</f>
        <v/>
      </c>
    </row>
    <row r="152">
      <c r="A152" s="11">
        <f>'02_Inputs'!A152</f>
        <v/>
      </c>
      <c r="B152" s="11">
        <f>'02_Inputs'!B152</f>
        <v/>
      </c>
      <c r="C152" s="11">
        <f>'02_Inputs'!C152</f>
        <v/>
      </c>
      <c r="D152" s="12">
        <f>'02_Inputs'!D152</f>
        <v/>
      </c>
      <c r="E152" s="6">
        <f>'02_Inputs'!E152</f>
        <v/>
      </c>
      <c r="F152" s="12">
        <f>D152*E152</f>
        <v/>
      </c>
      <c r="G152" s="11">
        <f>'02_Inputs'!F152</f>
        <v/>
      </c>
      <c r="H152" s="12">
        <f>F152/G152</f>
        <v/>
      </c>
      <c r="I152" s="6">
        <f>'02_Inputs'!G152</f>
        <v/>
      </c>
      <c r="J152" s="12">
        <f>H152*I152</f>
        <v/>
      </c>
      <c r="K152" s="6">
        <f>'02_Inputs'!H152</f>
        <v/>
      </c>
      <c r="L152" s="12">
        <f>J152*K152</f>
        <v/>
      </c>
      <c r="M152" s="12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1">
        <f>L152*1000*AA152*86400</f>
        <v/>
      </c>
      <c r="AC152" s="11">
        <f>AB152*365</f>
        <v/>
      </c>
    </row>
    <row r="153">
      <c r="A153" s="11">
        <f>'02_Inputs'!A153</f>
        <v/>
      </c>
      <c r="B153" s="11">
        <f>'02_Inputs'!B153</f>
        <v/>
      </c>
      <c r="C153" s="11">
        <f>'02_Inputs'!C153</f>
        <v/>
      </c>
      <c r="D153" s="12">
        <f>'02_Inputs'!D153</f>
        <v/>
      </c>
      <c r="E153" s="6">
        <f>'02_Inputs'!E153</f>
        <v/>
      </c>
      <c r="F153" s="12">
        <f>D153*E153</f>
        <v/>
      </c>
      <c r="G153" s="11">
        <f>'02_Inputs'!F153</f>
        <v/>
      </c>
      <c r="H153" s="12">
        <f>F153/G153</f>
        <v/>
      </c>
      <c r="I153" s="6">
        <f>'02_Inputs'!G153</f>
        <v/>
      </c>
      <c r="J153" s="12">
        <f>H153*I153</f>
        <v/>
      </c>
      <c r="K153" s="6">
        <f>'02_Inputs'!H153</f>
        <v/>
      </c>
      <c r="L153" s="12">
        <f>J153*K153</f>
        <v/>
      </c>
      <c r="M153" s="12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1">
        <f>L153*1000*AA153*86400</f>
        <v/>
      </c>
      <c r="AC153" s="11">
        <f>AB153*365</f>
        <v/>
      </c>
    </row>
    <row r="154">
      <c r="A154" s="11">
        <f>'02_Inputs'!A154</f>
        <v/>
      </c>
      <c r="B154" s="11">
        <f>'02_Inputs'!B154</f>
        <v/>
      </c>
      <c r="C154" s="11">
        <f>'02_Inputs'!C154</f>
        <v/>
      </c>
      <c r="D154" s="12">
        <f>'02_Inputs'!D154</f>
        <v/>
      </c>
      <c r="E154" s="6">
        <f>'02_Inputs'!E154</f>
        <v/>
      </c>
      <c r="F154" s="12">
        <f>D154*E154</f>
        <v/>
      </c>
      <c r="G154" s="11">
        <f>'02_Inputs'!F154</f>
        <v/>
      </c>
      <c r="H154" s="12">
        <f>F154/G154</f>
        <v/>
      </c>
      <c r="I154" s="6">
        <f>'02_Inputs'!G154</f>
        <v/>
      </c>
      <c r="J154" s="12">
        <f>H154*I154</f>
        <v/>
      </c>
      <c r="K154" s="6">
        <f>'02_Inputs'!H154</f>
        <v/>
      </c>
      <c r="L154" s="12">
        <f>J154*K154</f>
        <v/>
      </c>
      <c r="M154" s="12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1">
        <f>L154*1000*AA154*86400</f>
        <v/>
      </c>
      <c r="AC154" s="11">
        <f>AB154*365</f>
        <v/>
      </c>
    </row>
    <row r="155">
      <c r="A155" s="11">
        <f>'02_Inputs'!A155</f>
        <v/>
      </c>
      <c r="B155" s="11">
        <f>'02_Inputs'!B155</f>
        <v/>
      </c>
      <c r="C155" s="11">
        <f>'02_Inputs'!C155</f>
        <v/>
      </c>
      <c r="D155" s="12">
        <f>'02_Inputs'!D155</f>
        <v/>
      </c>
      <c r="E155" s="6">
        <f>'02_Inputs'!E155</f>
        <v/>
      </c>
      <c r="F155" s="12">
        <f>D155*E155</f>
        <v/>
      </c>
      <c r="G155" s="11">
        <f>'02_Inputs'!F155</f>
        <v/>
      </c>
      <c r="H155" s="12">
        <f>F155/G155</f>
        <v/>
      </c>
      <c r="I155" s="6">
        <f>'02_Inputs'!G155</f>
        <v/>
      </c>
      <c r="J155" s="12">
        <f>H155*I155</f>
        <v/>
      </c>
      <c r="K155" s="6">
        <f>'02_Inputs'!H155</f>
        <v/>
      </c>
      <c r="L155" s="12">
        <f>J155*K155</f>
        <v/>
      </c>
      <c r="M155" s="12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1">
        <f>L155*1000*AA155*86400</f>
        <v/>
      </c>
      <c r="AC155" s="11">
        <f>AB155*365</f>
        <v/>
      </c>
    </row>
    <row r="156">
      <c r="A156" s="11">
        <f>'02_Inputs'!A156</f>
        <v/>
      </c>
      <c r="B156" s="11">
        <f>'02_Inputs'!B156</f>
        <v/>
      </c>
      <c r="C156" s="11">
        <f>'02_Inputs'!C156</f>
        <v/>
      </c>
      <c r="D156" s="12">
        <f>'02_Inputs'!D156</f>
        <v/>
      </c>
      <c r="E156" s="6">
        <f>'02_Inputs'!E156</f>
        <v/>
      </c>
      <c r="F156" s="12">
        <f>D156*E156</f>
        <v/>
      </c>
      <c r="G156" s="11">
        <f>'02_Inputs'!F156</f>
        <v/>
      </c>
      <c r="H156" s="12">
        <f>F156/G156</f>
        <v/>
      </c>
      <c r="I156" s="6">
        <f>'02_Inputs'!G156</f>
        <v/>
      </c>
      <c r="J156" s="12">
        <f>H156*I156</f>
        <v/>
      </c>
      <c r="K156" s="6">
        <f>'02_Inputs'!H156</f>
        <v/>
      </c>
      <c r="L156" s="12">
        <f>J156*K156</f>
        <v/>
      </c>
      <c r="M156" s="12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1">
        <f>L156*1000*AA156*86400</f>
        <v/>
      </c>
      <c r="AC156" s="11">
        <f>AB156*365</f>
        <v/>
      </c>
    </row>
    <row r="157">
      <c r="A157" s="11">
        <f>'02_Inputs'!A157</f>
        <v/>
      </c>
      <c r="B157" s="11">
        <f>'02_Inputs'!B157</f>
        <v/>
      </c>
      <c r="C157" s="11">
        <f>'02_Inputs'!C157</f>
        <v/>
      </c>
      <c r="D157" s="12">
        <f>'02_Inputs'!D157</f>
        <v/>
      </c>
      <c r="E157" s="6">
        <f>'02_Inputs'!E157</f>
        <v/>
      </c>
      <c r="F157" s="12">
        <f>D157*E157</f>
        <v/>
      </c>
      <c r="G157" s="11">
        <f>'02_Inputs'!F157</f>
        <v/>
      </c>
      <c r="H157" s="12">
        <f>F157/G157</f>
        <v/>
      </c>
      <c r="I157" s="6">
        <f>'02_Inputs'!G157</f>
        <v/>
      </c>
      <c r="J157" s="12">
        <f>H157*I157</f>
        <v/>
      </c>
      <c r="K157" s="6">
        <f>'02_Inputs'!H157</f>
        <v/>
      </c>
      <c r="L157" s="12">
        <f>J157*K157</f>
        <v/>
      </c>
      <c r="M157" s="12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1">
        <f>L157*1000*AA157*86400</f>
        <v/>
      </c>
      <c r="AC157" s="11">
        <f>AB157*365</f>
        <v/>
      </c>
    </row>
    <row r="158">
      <c r="A158" s="11">
        <f>'02_Inputs'!A158</f>
        <v/>
      </c>
      <c r="B158" s="11">
        <f>'02_Inputs'!B158</f>
        <v/>
      </c>
      <c r="C158" s="11">
        <f>'02_Inputs'!C158</f>
        <v/>
      </c>
      <c r="D158" s="12">
        <f>'02_Inputs'!D158</f>
        <v/>
      </c>
      <c r="E158" s="6">
        <f>'02_Inputs'!E158</f>
        <v/>
      </c>
      <c r="F158" s="12">
        <f>D158*E158</f>
        <v/>
      </c>
      <c r="G158" s="11">
        <f>'02_Inputs'!F158</f>
        <v/>
      </c>
      <c r="H158" s="12">
        <f>F158/G158</f>
        <v/>
      </c>
      <c r="I158" s="6">
        <f>'02_Inputs'!G158</f>
        <v/>
      </c>
      <c r="J158" s="12">
        <f>H158*I158</f>
        <v/>
      </c>
      <c r="K158" s="6">
        <f>'02_Inputs'!H158</f>
        <v/>
      </c>
      <c r="L158" s="12">
        <f>J158*K158</f>
        <v/>
      </c>
      <c r="M158" s="12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1">
        <f>L158*1000*AA158*86400</f>
        <v/>
      </c>
      <c r="AC158" s="11">
        <f>AB158*365</f>
        <v/>
      </c>
    </row>
    <row r="159">
      <c r="A159" s="11">
        <f>'02_Inputs'!A159</f>
        <v/>
      </c>
      <c r="B159" s="11">
        <f>'02_Inputs'!B159</f>
        <v/>
      </c>
      <c r="C159" s="11">
        <f>'02_Inputs'!C159</f>
        <v/>
      </c>
      <c r="D159" s="12">
        <f>'02_Inputs'!D159</f>
        <v/>
      </c>
      <c r="E159" s="6">
        <f>'02_Inputs'!E159</f>
        <v/>
      </c>
      <c r="F159" s="12">
        <f>D159*E159</f>
        <v/>
      </c>
      <c r="G159" s="11">
        <f>'02_Inputs'!F159</f>
        <v/>
      </c>
      <c r="H159" s="12">
        <f>F159/G159</f>
        <v/>
      </c>
      <c r="I159" s="6">
        <f>'02_Inputs'!G159</f>
        <v/>
      </c>
      <c r="J159" s="12">
        <f>H159*I159</f>
        <v/>
      </c>
      <c r="K159" s="6">
        <f>'02_Inputs'!H159</f>
        <v/>
      </c>
      <c r="L159" s="12">
        <f>J159*K159</f>
        <v/>
      </c>
      <c r="M159" s="12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1">
        <f>L159*1000*AA159*86400</f>
        <v/>
      </c>
      <c r="AC159" s="11">
        <f>AB159*365</f>
        <v/>
      </c>
    </row>
    <row r="160">
      <c r="A160" s="11">
        <f>'02_Inputs'!A160</f>
        <v/>
      </c>
      <c r="B160" s="11">
        <f>'02_Inputs'!B160</f>
        <v/>
      </c>
      <c r="C160" s="11">
        <f>'02_Inputs'!C160</f>
        <v/>
      </c>
      <c r="D160" s="12">
        <f>'02_Inputs'!D160</f>
        <v/>
      </c>
      <c r="E160" s="6">
        <f>'02_Inputs'!E160</f>
        <v/>
      </c>
      <c r="F160" s="12">
        <f>D160*E160</f>
        <v/>
      </c>
      <c r="G160" s="11">
        <f>'02_Inputs'!F160</f>
        <v/>
      </c>
      <c r="H160" s="12">
        <f>F160/G160</f>
        <v/>
      </c>
      <c r="I160" s="6">
        <f>'02_Inputs'!G160</f>
        <v/>
      </c>
      <c r="J160" s="12">
        <f>H160*I160</f>
        <v/>
      </c>
      <c r="K160" s="6">
        <f>'02_Inputs'!H160</f>
        <v/>
      </c>
      <c r="L160" s="12">
        <f>J160*K160</f>
        <v/>
      </c>
      <c r="M160" s="12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1">
        <f>L160*1000*AA160*86400</f>
        <v/>
      </c>
      <c r="AC160" s="11">
        <f>AB160*365</f>
        <v/>
      </c>
    </row>
    <row r="161">
      <c r="A161" s="11">
        <f>'02_Inputs'!A161</f>
        <v/>
      </c>
      <c r="B161" s="11">
        <f>'02_Inputs'!B161</f>
        <v/>
      </c>
      <c r="C161" s="11">
        <f>'02_Inputs'!C161</f>
        <v/>
      </c>
      <c r="D161" s="12">
        <f>'02_Inputs'!D161</f>
        <v/>
      </c>
      <c r="E161" s="6">
        <f>'02_Inputs'!E161</f>
        <v/>
      </c>
      <c r="F161" s="12">
        <f>D161*E161</f>
        <v/>
      </c>
      <c r="G161" s="11">
        <f>'02_Inputs'!F161</f>
        <v/>
      </c>
      <c r="H161" s="12">
        <f>F161/G161</f>
        <v/>
      </c>
      <c r="I161" s="6">
        <f>'02_Inputs'!G161</f>
        <v/>
      </c>
      <c r="J161" s="12">
        <f>H161*I161</f>
        <v/>
      </c>
      <c r="K161" s="6">
        <f>'02_Inputs'!H161</f>
        <v/>
      </c>
      <c r="L161" s="12">
        <f>J161*K161</f>
        <v/>
      </c>
      <c r="M161" s="12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1">
        <f>L161*1000*AA161*86400</f>
        <v/>
      </c>
      <c r="AC161" s="11">
        <f>AB161*365</f>
        <v/>
      </c>
    </row>
    <row r="162">
      <c r="A162" s="11">
        <f>'02_Inputs'!A162</f>
        <v/>
      </c>
      <c r="B162" s="11">
        <f>'02_Inputs'!B162</f>
        <v/>
      </c>
      <c r="C162" s="11">
        <f>'02_Inputs'!C162</f>
        <v/>
      </c>
      <c r="D162" s="12">
        <f>'02_Inputs'!D162</f>
        <v/>
      </c>
      <c r="E162" s="6">
        <f>'02_Inputs'!E162</f>
        <v/>
      </c>
      <c r="F162" s="12">
        <f>D162*E162</f>
        <v/>
      </c>
      <c r="G162" s="11">
        <f>'02_Inputs'!F162</f>
        <v/>
      </c>
      <c r="H162" s="12">
        <f>F162/G162</f>
        <v/>
      </c>
      <c r="I162" s="6">
        <f>'02_Inputs'!G162</f>
        <v/>
      </c>
      <c r="J162" s="12">
        <f>H162*I162</f>
        <v/>
      </c>
      <c r="K162" s="6">
        <f>'02_Inputs'!H162</f>
        <v/>
      </c>
      <c r="L162" s="12">
        <f>J162*K162</f>
        <v/>
      </c>
      <c r="M162" s="12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1">
        <f>L162*1000*AA162*86400</f>
        <v/>
      </c>
      <c r="AC162" s="11">
        <f>AB162*365</f>
        <v/>
      </c>
    </row>
    <row r="163">
      <c r="A163" s="11">
        <f>'02_Inputs'!A163</f>
        <v/>
      </c>
      <c r="B163" s="11">
        <f>'02_Inputs'!B163</f>
        <v/>
      </c>
      <c r="C163" s="11">
        <f>'02_Inputs'!C163</f>
        <v/>
      </c>
      <c r="D163" s="12">
        <f>'02_Inputs'!D163</f>
        <v/>
      </c>
      <c r="E163" s="6">
        <f>'02_Inputs'!E163</f>
        <v/>
      </c>
      <c r="F163" s="12">
        <f>D163*E163</f>
        <v/>
      </c>
      <c r="G163" s="11">
        <f>'02_Inputs'!F163</f>
        <v/>
      </c>
      <c r="H163" s="12">
        <f>F163/G163</f>
        <v/>
      </c>
      <c r="I163" s="6">
        <f>'02_Inputs'!G163</f>
        <v/>
      </c>
      <c r="J163" s="12">
        <f>H163*I163</f>
        <v/>
      </c>
      <c r="K163" s="6">
        <f>'02_Inputs'!H163</f>
        <v/>
      </c>
      <c r="L163" s="12">
        <f>J163*K163</f>
        <v/>
      </c>
      <c r="M163" s="12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1">
        <f>L163*1000*AA163*86400</f>
        <v/>
      </c>
      <c r="AC163" s="11">
        <f>AB163*365</f>
        <v/>
      </c>
    </row>
    <row r="164">
      <c r="A164" s="11">
        <f>'02_Inputs'!A164</f>
        <v/>
      </c>
      <c r="B164" s="11">
        <f>'02_Inputs'!B164</f>
        <v/>
      </c>
      <c r="C164" s="11">
        <f>'02_Inputs'!C164</f>
        <v/>
      </c>
      <c r="D164" s="12">
        <f>'02_Inputs'!D164</f>
        <v/>
      </c>
      <c r="E164" s="6">
        <f>'02_Inputs'!E164</f>
        <v/>
      </c>
      <c r="F164" s="12">
        <f>D164*E164</f>
        <v/>
      </c>
      <c r="G164" s="11">
        <f>'02_Inputs'!F164</f>
        <v/>
      </c>
      <c r="H164" s="12">
        <f>F164/G164</f>
        <v/>
      </c>
      <c r="I164" s="6">
        <f>'02_Inputs'!G164</f>
        <v/>
      </c>
      <c r="J164" s="12">
        <f>H164*I164</f>
        <v/>
      </c>
      <c r="K164" s="6">
        <f>'02_Inputs'!H164</f>
        <v/>
      </c>
      <c r="L164" s="12">
        <f>J164*K164</f>
        <v/>
      </c>
      <c r="M164" s="12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1">
        <f>L164*1000*AA164*86400</f>
        <v/>
      </c>
      <c r="AC164" s="11">
        <f>AB164*365</f>
        <v/>
      </c>
    </row>
    <row r="165">
      <c r="A165" s="11">
        <f>'02_Inputs'!A165</f>
        <v/>
      </c>
      <c r="B165" s="11">
        <f>'02_Inputs'!B165</f>
        <v/>
      </c>
      <c r="C165" s="11">
        <f>'02_Inputs'!C165</f>
        <v/>
      </c>
      <c r="D165" s="12">
        <f>'02_Inputs'!D165</f>
        <v/>
      </c>
      <c r="E165" s="6">
        <f>'02_Inputs'!E165</f>
        <v/>
      </c>
      <c r="F165" s="12">
        <f>D165*E165</f>
        <v/>
      </c>
      <c r="G165" s="11">
        <f>'02_Inputs'!F165</f>
        <v/>
      </c>
      <c r="H165" s="12">
        <f>F165/G165</f>
        <v/>
      </c>
      <c r="I165" s="6">
        <f>'02_Inputs'!G165</f>
        <v/>
      </c>
      <c r="J165" s="12">
        <f>H165*I165</f>
        <v/>
      </c>
      <c r="K165" s="6">
        <f>'02_Inputs'!H165</f>
        <v/>
      </c>
      <c r="L165" s="12">
        <f>J165*K165</f>
        <v/>
      </c>
      <c r="M165" s="12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1">
        <f>L165*1000*AA165*86400</f>
        <v/>
      </c>
      <c r="AC165" s="11">
        <f>AB165*365</f>
        <v/>
      </c>
    </row>
    <row r="166">
      <c r="A166" s="11">
        <f>'02_Inputs'!A166</f>
        <v/>
      </c>
      <c r="B166" s="11">
        <f>'02_Inputs'!B166</f>
        <v/>
      </c>
      <c r="C166" s="11">
        <f>'02_Inputs'!C166</f>
        <v/>
      </c>
      <c r="D166" s="12">
        <f>'02_Inputs'!D166</f>
        <v/>
      </c>
      <c r="E166" s="6">
        <f>'02_Inputs'!E166</f>
        <v/>
      </c>
      <c r="F166" s="12">
        <f>D166*E166</f>
        <v/>
      </c>
      <c r="G166" s="11">
        <f>'02_Inputs'!F166</f>
        <v/>
      </c>
      <c r="H166" s="12">
        <f>F166/G166</f>
        <v/>
      </c>
      <c r="I166" s="6">
        <f>'02_Inputs'!G166</f>
        <v/>
      </c>
      <c r="J166" s="12">
        <f>H166*I166</f>
        <v/>
      </c>
      <c r="K166" s="6">
        <f>'02_Inputs'!H166</f>
        <v/>
      </c>
      <c r="L166" s="12">
        <f>J166*K166</f>
        <v/>
      </c>
      <c r="M166" s="12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1">
        <f>L166*1000*AA166*86400</f>
        <v/>
      </c>
      <c r="AC166" s="11">
        <f>AB166*365</f>
        <v/>
      </c>
    </row>
    <row r="167">
      <c r="A167" s="11">
        <f>'02_Inputs'!A167</f>
        <v/>
      </c>
      <c r="B167" s="11">
        <f>'02_Inputs'!B167</f>
        <v/>
      </c>
      <c r="C167" s="11">
        <f>'02_Inputs'!C167</f>
        <v/>
      </c>
      <c r="D167" s="12">
        <f>'02_Inputs'!D167</f>
        <v/>
      </c>
      <c r="E167" s="6">
        <f>'02_Inputs'!E167</f>
        <v/>
      </c>
      <c r="F167" s="12">
        <f>D167*E167</f>
        <v/>
      </c>
      <c r="G167" s="11">
        <f>'02_Inputs'!F167</f>
        <v/>
      </c>
      <c r="H167" s="12">
        <f>F167/G167</f>
        <v/>
      </c>
      <c r="I167" s="6">
        <f>'02_Inputs'!G167</f>
        <v/>
      </c>
      <c r="J167" s="12">
        <f>H167*I167</f>
        <v/>
      </c>
      <c r="K167" s="6">
        <f>'02_Inputs'!H167</f>
        <v/>
      </c>
      <c r="L167" s="12">
        <f>J167*K167</f>
        <v/>
      </c>
      <c r="M167" s="12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1">
        <f>L167*1000*AA167*86400</f>
        <v/>
      </c>
      <c r="AC167" s="11">
        <f>AB167*365</f>
        <v/>
      </c>
    </row>
    <row r="168">
      <c r="A168" s="11">
        <f>'02_Inputs'!A168</f>
        <v/>
      </c>
      <c r="B168" s="11">
        <f>'02_Inputs'!B168</f>
        <v/>
      </c>
      <c r="C168" s="11">
        <f>'02_Inputs'!C168</f>
        <v/>
      </c>
      <c r="D168" s="12">
        <f>'02_Inputs'!D168</f>
        <v/>
      </c>
      <c r="E168" s="6">
        <f>'02_Inputs'!E168</f>
        <v/>
      </c>
      <c r="F168" s="12">
        <f>D168*E168</f>
        <v/>
      </c>
      <c r="G168" s="11">
        <f>'02_Inputs'!F168</f>
        <v/>
      </c>
      <c r="H168" s="12">
        <f>F168/G168</f>
        <v/>
      </c>
      <c r="I168" s="6">
        <f>'02_Inputs'!G168</f>
        <v/>
      </c>
      <c r="J168" s="12">
        <f>H168*I168</f>
        <v/>
      </c>
      <c r="K168" s="6">
        <f>'02_Inputs'!H168</f>
        <v/>
      </c>
      <c r="L168" s="12">
        <f>J168*K168</f>
        <v/>
      </c>
      <c r="M168" s="12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1">
        <f>L168*1000*AA168*86400</f>
        <v/>
      </c>
      <c r="AC168" s="11">
        <f>AB168*365</f>
        <v/>
      </c>
    </row>
    <row r="169">
      <c r="A169" s="11">
        <f>'02_Inputs'!A169</f>
        <v/>
      </c>
      <c r="B169" s="11">
        <f>'02_Inputs'!B169</f>
        <v/>
      </c>
      <c r="C169" s="11">
        <f>'02_Inputs'!C169</f>
        <v/>
      </c>
      <c r="D169" s="12">
        <f>'02_Inputs'!D169</f>
        <v/>
      </c>
      <c r="E169" s="6">
        <f>'02_Inputs'!E169</f>
        <v/>
      </c>
      <c r="F169" s="12">
        <f>D169*E169</f>
        <v/>
      </c>
      <c r="G169" s="11">
        <f>'02_Inputs'!F169</f>
        <v/>
      </c>
      <c r="H169" s="12">
        <f>F169/G169</f>
        <v/>
      </c>
      <c r="I169" s="6">
        <f>'02_Inputs'!G169</f>
        <v/>
      </c>
      <c r="J169" s="12">
        <f>H169*I169</f>
        <v/>
      </c>
      <c r="K169" s="6">
        <f>'02_Inputs'!H169</f>
        <v/>
      </c>
      <c r="L169" s="12">
        <f>J169*K169</f>
        <v/>
      </c>
      <c r="M169" s="12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1">
        <f>L169*1000*AA169*86400</f>
        <v/>
      </c>
      <c r="AC169" s="11">
        <f>AB169*365</f>
        <v/>
      </c>
    </row>
    <row r="170">
      <c r="A170" s="11">
        <f>'02_Inputs'!A170</f>
        <v/>
      </c>
      <c r="B170" s="11">
        <f>'02_Inputs'!B170</f>
        <v/>
      </c>
      <c r="C170" s="11">
        <f>'02_Inputs'!C170</f>
        <v/>
      </c>
      <c r="D170" s="12">
        <f>'02_Inputs'!D170</f>
        <v/>
      </c>
      <c r="E170" s="6">
        <f>'02_Inputs'!E170</f>
        <v/>
      </c>
      <c r="F170" s="12">
        <f>D170*E170</f>
        <v/>
      </c>
      <c r="G170" s="11">
        <f>'02_Inputs'!F170</f>
        <v/>
      </c>
      <c r="H170" s="12">
        <f>F170/G170</f>
        <v/>
      </c>
      <c r="I170" s="6">
        <f>'02_Inputs'!G170</f>
        <v/>
      </c>
      <c r="J170" s="12">
        <f>H170*I170</f>
        <v/>
      </c>
      <c r="K170" s="6">
        <f>'02_Inputs'!H170</f>
        <v/>
      </c>
      <c r="L170" s="12">
        <f>J170*K170</f>
        <v/>
      </c>
      <c r="M170" s="12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1">
        <f>L170*1000*AA170*86400</f>
        <v/>
      </c>
      <c r="AC170" s="11">
        <f>AB170*365</f>
        <v/>
      </c>
    </row>
    <row r="171">
      <c r="A171" s="11">
        <f>'02_Inputs'!A171</f>
        <v/>
      </c>
      <c r="B171" s="11">
        <f>'02_Inputs'!B171</f>
        <v/>
      </c>
      <c r="C171" s="11">
        <f>'02_Inputs'!C171</f>
        <v/>
      </c>
      <c r="D171" s="12">
        <f>'02_Inputs'!D171</f>
        <v/>
      </c>
      <c r="E171" s="6">
        <f>'02_Inputs'!E171</f>
        <v/>
      </c>
      <c r="F171" s="12">
        <f>D171*E171</f>
        <v/>
      </c>
      <c r="G171" s="11">
        <f>'02_Inputs'!F171</f>
        <v/>
      </c>
      <c r="H171" s="12">
        <f>F171/G171</f>
        <v/>
      </c>
      <c r="I171" s="6">
        <f>'02_Inputs'!G171</f>
        <v/>
      </c>
      <c r="J171" s="12">
        <f>H171*I171</f>
        <v/>
      </c>
      <c r="K171" s="6">
        <f>'02_Inputs'!H171</f>
        <v/>
      </c>
      <c r="L171" s="12">
        <f>J171*K171</f>
        <v/>
      </c>
      <c r="M171" s="12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1">
        <f>L171*1000*AA171*86400</f>
        <v/>
      </c>
      <c r="AC171" s="11">
        <f>AB171*365</f>
        <v/>
      </c>
    </row>
    <row r="172">
      <c r="A172" s="11">
        <f>'02_Inputs'!A172</f>
        <v/>
      </c>
      <c r="B172" s="11">
        <f>'02_Inputs'!B172</f>
        <v/>
      </c>
      <c r="C172" s="11">
        <f>'02_Inputs'!C172</f>
        <v/>
      </c>
      <c r="D172" s="12">
        <f>'02_Inputs'!D172</f>
        <v/>
      </c>
      <c r="E172" s="6">
        <f>'02_Inputs'!E172</f>
        <v/>
      </c>
      <c r="F172" s="12">
        <f>D172*E172</f>
        <v/>
      </c>
      <c r="G172" s="11">
        <f>'02_Inputs'!F172</f>
        <v/>
      </c>
      <c r="H172" s="12">
        <f>F172/G172</f>
        <v/>
      </c>
      <c r="I172" s="6">
        <f>'02_Inputs'!G172</f>
        <v/>
      </c>
      <c r="J172" s="12">
        <f>H172*I172</f>
        <v/>
      </c>
      <c r="K172" s="6">
        <f>'02_Inputs'!H172</f>
        <v/>
      </c>
      <c r="L172" s="12">
        <f>J172*K172</f>
        <v/>
      </c>
      <c r="M172" s="12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1">
        <f>L172*1000*AA172*86400</f>
        <v/>
      </c>
      <c r="AC172" s="11">
        <f>AB172*365</f>
        <v/>
      </c>
    </row>
    <row r="173">
      <c r="A173" s="11">
        <f>'02_Inputs'!A173</f>
        <v/>
      </c>
      <c r="B173" s="11">
        <f>'02_Inputs'!B173</f>
        <v/>
      </c>
      <c r="C173" s="11">
        <f>'02_Inputs'!C173</f>
        <v/>
      </c>
      <c r="D173" s="12">
        <f>'02_Inputs'!D173</f>
        <v/>
      </c>
      <c r="E173" s="6">
        <f>'02_Inputs'!E173</f>
        <v/>
      </c>
      <c r="F173" s="12">
        <f>D173*E173</f>
        <v/>
      </c>
      <c r="G173" s="11">
        <f>'02_Inputs'!F173</f>
        <v/>
      </c>
      <c r="H173" s="12">
        <f>F173/G173</f>
        <v/>
      </c>
      <c r="I173" s="6">
        <f>'02_Inputs'!G173</f>
        <v/>
      </c>
      <c r="J173" s="12">
        <f>H173*I173</f>
        <v/>
      </c>
      <c r="K173" s="6">
        <f>'02_Inputs'!H173</f>
        <v/>
      </c>
      <c r="L173" s="12">
        <f>J173*K173</f>
        <v/>
      </c>
      <c r="M173" s="12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1">
        <f>L173*1000*AA173*86400</f>
        <v/>
      </c>
      <c r="AC173" s="11">
        <f>AB173*365</f>
        <v/>
      </c>
    </row>
    <row r="174">
      <c r="A174" s="11">
        <f>'02_Inputs'!A174</f>
        <v/>
      </c>
      <c r="B174" s="11">
        <f>'02_Inputs'!B174</f>
        <v/>
      </c>
      <c r="C174" s="11">
        <f>'02_Inputs'!C174</f>
        <v/>
      </c>
      <c r="D174" s="12">
        <f>'02_Inputs'!D174</f>
        <v/>
      </c>
      <c r="E174" s="6">
        <f>'02_Inputs'!E174</f>
        <v/>
      </c>
      <c r="F174" s="12">
        <f>D174*E174</f>
        <v/>
      </c>
      <c r="G174" s="11">
        <f>'02_Inputs'!F174</f>
        <v/>
      </c>
      <c r="H174" s="12">
        <f>F174/G174</f>
        <v/>
      </c>
      <c r="I174" s="6">
        <f>'02_Inputs'!G174</f>
        <v/>
      </c>
      <c r="J174" s="12">
        <f>H174*I174</f>
        <v/>
      </c>
      <c r="K174" s="6">
        <f>'02_Inputs'!H174</f>
        <v/>
      </c>
      <c r="L174" s="12">
        <f>J174*K174</f>
        <v/>
      </c>
      <c r="M174" s="12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1">
        <f>L174*1000*AA174*86400</f>
        <v/>
      </c>
      <c r="AC174" s="11">
        <f>AB174*365</f>
        <v/>
      </c>
    </row>
    <row r="175">
      <c r="A175" s="11">
        <f>'02_Inputs'!A175</f>
        <v/>
      </c>
      <c r="B175" s="11">
        <f>'02_Inputs'!B175</f>
        <v/>
      </c>
      <c r="C175" s="11">
        <f>'02_Inputs'!C175</f>
        <v/>
      </c>
      <c r="D175" s="12">
        <f>'02_Inputs'!D175</f>
        <v/>
      </c>
      <c r="E175" s="6">
        <f>'02_Inputs'!E175</f>
        <v/>
      </c>
      <c r="F175" s="12">
        <f>D175*E175</f>
        <v/>
      </c>
      <c r="G175" s="11">
        <f>'02_Inputs'!F175</f>
        <v/>
      </c>
      <c r="H175" s="12">
        <f>F175/G175</f>
        <v/>
      </c>
      <c r="I175" s="6">
        <f>'02_Inputs'!G175</f>
        <v/>
      </c>
      <c r="J175" s="12">
        <f>H175*I175</f>
        <v/>
      </c>
      <c r="K175" s="6">
        <f>'02_Inputs'!H175</f>
        <v/>
      </c>
      <c r="L175" s="12">
        <f>J175*K175</f>
        <v/>
      </c>
      <c r="M175" s="12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1">
        <f>L175*1000*AA175*86400</f>
        <v/>
      </c>
      <c r="AC175" s="11">
        <f>AB175*365</f>
        <v/>
      </c>
    </row>
    <row r="176">
      <c r="A176" s="11">
        <f>'02_Inputs'!A176</f>
        <v/>
      </c>
      <c r="B176" s="11">
        <f>'02_Inputs'!B176</f>
        <v/>
      </c>
      <c r="C176" s="11">
        <f>'02_Inputs'!C176</f>
        <v/>
      </c>
      <c r="D176" s="12">
        <f>'02_Inputs'!D176</f>
        <v/>
      </c>
      <c r="E176" s="6">
        <f>'02_Inputs'!E176</f>
        <v/>
      </c>
      <c r="F176" s="12">
        <f>D176*E176</f>
        <v/>
      </c>
      <c r="G176" s="11">
        <f>'02_Inputs'!F176</f>
        <v/>
      </c>
      <c r="H176" s="12">
        <f>F176/G176</f>
        <v/>
      </c>
      <c r="I176" s="6">
        <f>'02_Inputs'!G176</f>
        <v/>
      </c>
      <c r="J176" s="12">
        <f>H176*I176</f>
        <v/>
      </c>
      <c r="K176" s="6">
        <f>'02_Inputs'!H176</f>
        <v/>
      </c>
      <c r="L176" s="12">
        <f>J176*K176</f>
        <v/>
      </c>
      <c r="M176" s="12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1">
        <f>L176*1000*AA176*86400</f>
        <v/>
      </c>
      <c r="AC176" s="11">
        <f>AB176*365</f>
        <v/>
      </c>
    </row>
    <row r="177">
      <c r="A177" s="11">
        <f>'02_Inputs'!A177</f>
        <v/>
      </c>
      <c r="B177" s="11">
        <f>'02_Inputs'!B177</f>
        <v/>
      </c>
      <c r="C177" s="11">
        <f>'02_Inputs'!C177</f>
        <v/>
      </c>
      <c r="D177" s="12">
        <f>'02_Inputs'!D177</f>
        <v/>
      </c>
      <c r="E177" s="6">
        <f>'02_Inputs'!E177</f>
        <v/>
      </c>
      <c r="F177" s="12">
        <f>D177*E177</f>
        <v/>
      </c>
      <c r="G177" s="11">
        <f>'02_Inputs'!F177</f>
        <v/>
      </c>
      <c r="H177" s="12">
        <f>F177/G177</f>
        <v/>
      </c>
      <c r="I177" s="6">
        <f>'02_Inputs'!G177</f>
        <v/>
      </c>
      <c r="J177" s="12">
        <f>H177*I177</f>
        <v/>
      </c>
      <c r="K177" s="6">
        <f>'02_Inputs'!H177</f>
        <v/>
      </c>
      <c r="L177" s="12">
        <f>J177*K177</f>
        <v/>
      </c>
      <c r="M177" s="12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1">
        <f>L177*1000*AA177*86400</f>
        <v/>
      </c>
      <c r="AC177" s="11">
        <f>AB177*365</f>
        <v/>
      </c>
    </row>
    <row r="178">
      <c r="A178" s="11">
        <f>'02_Inputs'!A178</f>
        <v/>
      </c>
      <c r="B178" s="11">
        <f>'02_Inputs'!B178</f>
        <v/>
      </c>
      <c r="C178" s="11">
        <f>'02_Inputs'!C178</f>
        <v/>
      </c>
      <c r="D178" s="12">
        <f>'02_Inputs'!D178</f>
        <v/>
      </c>
      <c r="E178" s="6">
        <f>'02_Inputs'!E178</f>
        <v/>
      </c>
      <c r="F178" s="12">
        <f>D178*E178</f>
        <v/>
      </c>
      <c r="G178" s="11">
        <f>'02_Inputs'!F178</f>
        <v/>
      </c>
      <c r="H178" s="12">
        <f>F178/G178</f>
        <v/>
      </c>
      <c r="I178" s="6">
        <f>'02_Inputs'!G178</f>
        <v/>
      </c>
      <c r="J178" s="12">
        <f>H178*I178</f>
        <v/>
      </c>
      <c r="K178" s="6">
        <f>'02_Inputs'!H178</f>
        <v/>
      </c>
      <c r="L178" s="12">
        <f>J178*K178</f>
        <v/>
      </c>
      <c r="M178" s="12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1">
        <f>L178*1000*AA178*86400</f>
        <v/>
      </c>
      <c r="AC178" s="11">
        <f>AB178*365</f>
        <v/>
      </c>
    </row>
    <row r="179">
      <c r="A179" s="11">
        <f>'02_Inputs'!A179</f>
        <v/>
      </c>
      <c r="B179" s="11">
        <f>'02_Inputs'!B179</f>
        <v/>
      </c>
      <c r="C179" s="11">
        <f>'02_Inputs'!C179</f>
        <v/>
      </c>
      <c r="D179" s="12">
        <f>'02_Inputs'!D179</f>
        <v/>
      </c>
      <c r="E179" s="6">
        <f>'02_Inputs'!E179</f>
        <v/>
      </c>
      <c r="F179" s="12">
        <f>D179*E179</f>
        <v/>
      </c>
      <c r="G179" s="11">
        <f>'02_Inputs'!F179</f>
        <v/>
      </c>
      <c r="H179" s="12">
        <f>F179/G179</f>
        <v/>
      </c>
      <c r="I179" s="6">
        <f>'02_Inputs'!G179</f>
        <v/>
      </c>
      <c r="J179" s="12">
        <f>H179*I179</f>
        <v/>
      </c>
      <c r="K179" s="6">
        <f>'02_Inputs'!H179</f>
        <v/>
      </c>
      <c r="L179" s="12">
        <f>J179*K179</f>
        <v/>
      </c>
      <c r="M179" s="12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1">
        <f>L179*1000*AA179*86400</f>
        <v/>
      </c>
      <c r="AC179" s="11">
        <f>AB179*365</f>
        <v/>
      </c>
    </row>
    <row r="180">
      <c r="A180" s="11">
        <f>'02_Inputs'!A180</f>
        <v/>
      </c>
      <c r="B180" s="11">
        <f>'02_Inputs'!B180</f>
        <v/>
      </c>
      <c r="C180" s="11">
        <f>'02_Inputs'!C180</f>
        <v/>
      </c>
      <c r="D180" s="12">
        <f>'02_Inputs'!D180</f>
        <v/>
      </c>
      <c r="E180" s="6">
        <f>'02_Inputs'!E180</f>
        <v/>
      </c>
      <c r="F180" s="12">
        <f>D180*E180</f>
        <v/>
      </c>
      <c r="G180" s="11">
        <f>'02_Inputs'!F180</f>
        <v/>
      </c>
      <c r="H180" s="12">
        <f>F180/G180</f>
        <v/>
      </c>
      <c r="I180" s="6">
        <f>'02_Inputs'!G180</f>
        <v/>
      </c>
      <c r="J180" s="12">
        <f>H180*I180</f>
        <v/>
      </c>
      <c r="K180" s="6">
        <f>'02_Inputs'!H180</f>
        <v/>
      </c>
      <c r="L180" s="12">
        <f>J180*K180</f>
        <v/>
      </c>
      <c r="M180" s="12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1">
        <f>L180*1000*AA180*86400</f>
        <v/>
      </c>
      <c r="AC180" s="11">
        <f>AB180*365</f>
        <v/>
      </c>
    </row>
    <row r="181">
      <c r="A181" s="11">
        <f>'02_Inputs'!A181</f>
        <v/>
      </c>
      <c r="B181" s="11">
        <f>'02_Inputs'!B181</f>
        <v/>
      </c>
      <c r="C181" s="11">
        <f>'02_Inputs'!C181</f>
        <v/>
      </c>
      <c r="D181" s="12">
        <f>'02_Inputs'!D181</f>
        <v/>
      </c>
      <c r="E181" s="6">
        <f>'02_Inputs'!E181</f>
        <v/>
      </c>
      <c r="F181" s="12">
        <f>D181*E181</f>
        <v/>
      </c>
      <c r="G181" s="11">
        <f>'02_Inputs'!F181</f>
        <v/>
      </c>
      <c r="H181" s="12">
        <f>F181/G181</f>
        <v/>
      </c>
      <c r="I181" s="6">
        <f>'02_Inputs'!G181</f>
        <v/>
      </c>
      <c r="J181" s="12">
        <f>H181*I181</f>
        <v/>
      </c>
      <c r="K181" s="6">
        <f>'02_Inputs'!H181</f>
        <v/>
      </c>
      <c r="L181" s="12">
        <f>J181*K181</f>
        <v/>
      </c>
      <c r="M181" s="12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1">
        <f>L181*1000*AA181*86400</f>
        <v/>
      </c>
      <c r="AC181" s="11">
        <f>AB181*365</f>
        <v/>
      </c>
    </row>
  </sheetData>
  <autoFilter ref="A1:AC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2">
        <f>SUMIFS('03_Calculation'!$AB$2:$AB$181,'03_Calculation'!$A$2:$A$181,"Base",'03_Calculation'!$B$2:$B$181,$A6,'03_Calculation'!$C$2:$C$181,B$5)/1000000000000000</f>
        <v/>
      </c>
      <c r="C6" s="12">
        <f>SUMIFS('03_Calculation'!$AB$2:$AB$181,'03_Calculation'!$A$2:$A$181,"Base",'03_Calculation'!$B$2:$B$181,$A6,'03_Calculation'!$C$2:$C$181,C$5)/1000000000000000</f>
        <v/>
      </c>
      <c r="D6" s="12">
        <f>SUMIFS('03_Calculation'!$AB$2:$AB$181,'03_Calculation'!$A$2:$A$181,"Base",'03_Calculation'!$B$2:$B$181,$A6,'03_Calculation'!$C$2:$C$181,D$5)/1000000000000000</f>
        <v/>
      </c>
      <c r="E6" s="12">
        <f>SUMIFS('03_Calculation'!$AB$2:$AB$181,'03_Calculation'!$A$2:$A$181,"Base",'03_Calculation'!$B$2:$B$181,$A6,'03_Calculation'!$C$2:$C$181,E$5)/1000000000000000</f>
        <v/>
      </c>
      <c r="F6" s="12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2">
        <f>SUMIFS('03_Calculation'!$AB$2:$AB$181,'03_Calculation'!$A$2:$A$181,"Base",'03_Calculation'!$B$2:$B$181,$A7,'03_Calculation'!$C$2:$C$181,B$5)/1000000000000000</f>
        <v/>
      </c>
      <c r="C7" s="12">
        <f>SUMIFS('03_Calculation'!$AB$2:$AB$181,'03_Calculation'!$A$2:$A$181,"Base",'03_Calculation'!$B$2:$B$181,$A7,'03_Calculation'!$C$2:$C$181,C$5)/1000000000000000</f>
        <v/>
      </c>
      <c r="D7" s="12">
        <f>SUMIFS('03_Calculation'!$AB$2:$AB$181,'03_Calculation'!$A$2:$A$181,"Base",'03_Calculation'!$B$2:$B$181,$A7,'03_Calculation'!$C$2:$C$181,D$5)/1000000000000000</f>
        <v/>
      </c>
      <c r="E7" s="12">
        <f>SUMIFS('03_Calculation'!$AB$2:$AB$181,'03_Calculation'!$A$2:$A$181,"Base",'03_Calculation'!$B$2:$B$181,$A7,'03_Calculation'!$C$2:$C$181,E$5)/1000000000000000</f>
        <v/>
      </c>
      <c r="F7" s="12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2">
        <f>SUMIFS('03_Calculation'!$AB$2:$AB$181,'03_Calculation'!$A$2:$A$181,"Base",'03_Calculation'!$B$2:$B$181,$A8,'03_Calculation'!$C$2:$C$181,B$5)/1000000000000000</f>
        <v/>
      </c>
      <c r="C8" s="12">
        <f>SUMIFS('03_Calculation'!$AB$2:$AB$181,'03_Calculation'!$A$2:$A$181,"Base",'03_Calculation'!$B$2:$B$181,$A8,'03_Calculation'!$C$2:$C$181,C$5)/1000000000000000</f>
        <v/>
      </c>
      <c r="D8" s="12">
        <f>SUMIFS('03_Calculation'!$AB$2:$AB$181,'03_Calculation'!$A$2:$A$181,"Base",'03_Calculation'!$B$2:$B$181,$A8,'03_Calculation'!$C$2:$C$181,D$5)/1000000000000000</f>
        <v/>
      </c>
      <c r="E8" s="12">
        <f>SUMIFS('03_Calculation'!$AB$2:$AB$181,'03_Calculation'!$A$2:$A$181,"Base",'03_Calculation'!$B$2:$B$181,$A8,'03_Calculation'!$C$2:$C$181,E$5)/1000000000000000</f>
        <v/>
      </c>
      <c r="F8" s="12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2">
        <f>SUMIFS('03_Calculation'!$AB$2:$AB$181,'03_Calculation'!$A$2:$A$181,"Base",'03_Calculation'!$B$2:$B$181,$A9,'03_Calculation'!$C$2:$C$181,B$5)/1000000000000000</f>
        <v/>
      </c>
      <c r="C9" s="12">
        <f>SUMIFS('03_Calculation'!$AB$2:$AB$181,'03_Calculation'!$A$2:$A$181,"Base",'03_Calculation'!$B$2:$B$181,$A9,'03_Calculation'!$C$2:$C$181,C$5)/1000000000000000</f>
        <v/>
      </c>
      <c r="D9" s="12">
        <f>SUMIFS('03_Calculation'!$AB$2:$AB$181,'03_Calculation'!$A$2:$A$181,"Base",'03_Calculation'!$B$2:$B$181,$A9,'03_Calculation'!$C$2:$C$181,D$5)/1000000000000000</f>
        <v/>
      </c>
      <c r="E9" s="12">
        <f>SUMIFS('03_Calculation'!$AB$2:$AB$181,'03_Calculation'!$A$2:$A$181,"Base",'03_Calculation'!$B$2:$B$181,$A9,'03_Calculation'!$C$2:$C$181,E$5)/1000000000000000</f>
        <v/>
      </c>
      <c r="F9" s="12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2">
        <f>SUMIFS('03_Calculation'!$AB$2:$AB$181,'03_Calculation'!$A$2:$A$181,"Base",'03_Calculation'!$B$2:$B$181,$A10,'03_Calculation'!$C$2:$C$181,B$5)/1000000000000000</f>
        <v/>
      </c>
      <c r="C10" s="12">
        <f>SUMIFS('03_Calculation'!$AB$2:$AB$181,'03_Calculation'!$A$2:$A$181,"Base",'03_Calculation'!$B$2:$B$181,$A10,'03_Calculation'!$C$2:$C$181,C$5)/1000000000000000</f>
        <v/>
      </c>
      <c r="D10" s="12">
        <f>SUMIFS('03_Calculation'!$AB$2:$AB$181,'03_Calculation'!$A$2:$A$181,"Base",'03_Calculation'!$B$2:$B$181,$A10,'03_Calculation'!$C$2:$C$181,D$5)/1000000000000000</f>
        <v/>
      </c>
      <c r="E10" s="12">
        <f>SUMIFS('03_Calculation'!$AB$2:$AB$181,'03_Calculation'!$A$2:$A$181,"Base",'03_Calculation'!$B$2:$B$181,$A10,'03_Calculation'!$C$2:$C$181,E$5)/1000000000000000</f>
        <v/>
      </c>
      <c r="F10" s="12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2">
        <f>SUMIFS('03_Calculation'!$AB$2:$AB$181,'03_Calculation'!$A$2:$A$181,"Base",'03_Calculation'!$B$2:$B$181,$A11,'03_Calculation'!$C$2:$C$181,B$5)/1000000000000000</f>
        <v/>
      </c>
      <c r="C11" s="12">
        <f>SUMIFS('03_Calculation'!$AB$2:$AB$181,'03_Calculation'!$A$2:$A$181,"Base",'03_Calculation'!$B$2:$B$181,$A11,'03_Calculation'!$C$2:$C$181,C$5)/1000000000000000</f>
        <v/>
      </c>
      <c r="D11" s="12">
        <f>SUMIFS('03_Calculation'!$AB$2:$AB$181,'03_Calculation'!$A$2:$A$181,"Base",'03_Calculation'!$B$2:$B$181,$A11,'03_Calculation'!$C$2:$C$181,D$5)/1000000000000000</f>
        <v/>
      </c>
      <c r="E11" s="12">
        <f>SUMIFS('03_Calculation'!$AB$2:$AB$181,'03_Calculation'!$A$2:$A$181,"Base",'03_Calculation'!$B$2:$B$181,$A11,'03_Calculation'!$C$2:$C$181,E$5)/1000000000000000</f>
        <v/>
      </c>
      <c r="F11" s="12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2">
        <f>SUMIFS('03_Calculation'!$AB$2:$AB$181,'03_Calculation'!$A$2:$A$181,"Base",'03_Calculation'!$B$2:$B$181,$A12,'03_Calculation'!$C$2:$C$181,B$5)/1000000000000000</f>
        <v/>
      </c>
      <c r="C12" s="12">
        <f>SUMIFS('03_Calculation'!$AB$2:$AB$181,'03_Calculation'!$A$2:$A$181,"Base",'03_Calculation'!$B$2:$B$181,$A12,'03_Calculation'!$C$2:$C$181,C$5)/1000000000000000</f>
        <v/>
      </c>
      <c r="D12" s="12">
        <f>SUMIFS('03_Calculation'!$AB$2:$AB$181,'03_Calculation'!$A$2:$A$181,"Base",'03_Calculation'!$B$2:$B$181,$A12,'03_Calculation'!$C$2:$C$181,D$5)/1000000000000000</f>
        <v/>
      </c>
      <c r="E12" s="12">
        <f>SUMIFS('03_Calculation'!$AB$2:$AB$181,'03_Calculation'!$A$2:$A$181,"Base",'03_Calculation'!$B$2:$B$181,$A12,'03_Calculation'!$C$2:$C$181,E$5)/1000000000000000</f>
        <v/>
      </c>
      <c r="F12" s="12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2">
        <f>SUMIFS('03_Calculation'!$AB$2:$AB$181,'03_Calculation'!$A$2:$A$181,"Base",'03_Calculation'!$B$2:$B$181,$A13,'03_Calculation'!$C$2:$C$181,B$5)/1000000000000000</f>
        <v/>
      </c>
      <c r="C13" s="12">
        <f>SUMIFS('03_Calculation'!$AB$2:$AB$181,'03_Calculation'!$A$2:$A$181,"Base",'03_Calculation'!$B$2:$B$181,$A13,'03_Calculation'!$C$2:$C$181,C$5)/1000000000000000</f>
        <v/>
      </c>
      <c r="D13" s="12">
        <f>SUMIFS('03_Calculation'!$AB$2:$AB$181,'03_Calculation'!$A$2:$A$181,"Base",'03_Calculation'!$B$2:$B$181,$A13,'03_Calculation'!$C$2:$C$181,D$5)/1000000000000000</f>
        <v/>
      </c>
      <c r="E13" s="12">
        <f>SUMIFS('03_Calculation'!$AB$2:$AB$181,'03_Calculation'!$A$2:$A$181,"Base",'03_Calculation'!$B$2:$B$181,$A13,'03_Calculation'!$C$2:$C$181,E$5)/1000000000000000</f>
        <v/>
      </c>
      <c r="F13" s="12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2">
        <f>SUMIFS('03_Calculation'!$AB$2:$AB$181,'03_Calculation'!$A$2:$A$181,"Base",'03_Calculation'!$B$2:$B$181,$A14,'03_Calculation'!$C$2:$C$181,B$5)/1000000000000000</f>
        <v/>
      </c>
      <c r="C14" s="12">
        <f>SUMIFS('03_Calculation'!$AB$2:$AB$181,'03_Calculation'!$A$2:$A$181,"Base",'03_Calculation'!$B$2:$B$181,$A14,'03_Calculation'!$C$2:$C$181,C$5)/1000000000000000</f>
        <v/>
      </c>
      <c r="D14" s="12">
        <f>SUMIFS('03_Calculation'!$AB$2:$AB$181,'03_Calculation'!$A$2:$A$181,"Base",'03_Calculation'!$B$2:$B$181,$A14,'03_Calculation'!$C$2:$C$181,D$5)/1000000000000000</f>
        <v/>
      </c>
      <c r="E14" s="12">
        <f>SUMIFS('03_Calculation'!$AB$2:$AB$181,'03_Calculation'!$A$2:$A$181,"Base",'03_Calculation'!$B$2:$B$181,$A14,'03_Calculation'!$C$2:$C$181,E$5)/1000000000000000</f>
        <v/>
      </c>
      <c r="F14" s="12">
        <f>SUMIFS('03_Calculation'!$AB$2:$AB$181,'03_Calculation'!$A$2:$A$181,"Base",'03_Calculation'!$B$2:$B$181,$A14,'03_Calculation'!$C$2:$C$181,F$5)/1000000000000000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2">
        <f>SUMIFS('03_Calculation'!$AC$2:$AC$181,'03_Calculation'!$A$2:$A$181,"Base",'03_Calculation'!$B$2:$B$181,$A19,'03_Calculation'!$C$2:$C$181,B$18)/1000000000000000</f>
        <v/>
      </c>
      <c r="C19" s="12">
        <f>SUMIFS('03_Calculation'!$AC$2:$AC$181,'03_Calculation'!$A$2:$A$181,"Base",'03_Calculation'!$B$2:$B$181,$A19,'03_Calculation'!$C$2:$C$181,C$18)/1000000000000000</f>
        <v/>
      </c>
      <c r="D19" s="12">
        <f>SUMIFS('03_Calculation'!$AC$2:$AC$181,'03_Calculation'!$A$2:$A$181,"Base",'03_Calculation'!$B$2:$B$181,$A19,'03_Calculation'!$C$2:$C$181,D$18)/1000000000000000</f>
        <v/>
      </c>
      <c r="E19" s="12">
        <f>SUMIFS('03_Calculation'!$AC$2:$AC$181,'03_Calculation'!$A$2:$A$181,"Base",'03_Calculation'!$B$2:$B$181,$A19,'03_Calculation'!$C$2:$C$181,E$18)/1000000000000000</f>
        <v/>
      </c>
      <c r="F19" s="12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2">
        <f>SUMIFS('03_Calculation'!$AC$2:$AC$181,'03_Calculation'!$A$2:$A$181,"Base",'03_Calculation'!$B$2:$B$181,$A20,'03_Calculation'!$C$2:$C$181,B$18)/1000000000000000</f>
        <v/>
      </c>
      <c r="C20" s="12">
        <f>SUMIFS('03_Calculation'!$AC$2:$AC$181,'03_Calculation'!$A$2:$A$181,"Base",'03_Calculation'!$B$2:$B$181,$A20,'03_Calculation'!$C$2:$C$181,C$18)/1000000000000000</f>
        <v/>
      </c>
      <c r="D20" s="12">
        <f>SUMIFS('03_Calculation'!$AC$2:$AC$181,'03_Calculation'!$A$2:$A$181,"Base",'03_Calculation'!$B$2:$B$181,$A20,'03_Calculation'!$C$2:$C$181,D$18)/1000000000000000</f>
        <v/>
      </c>
      <c r="E20" s="12">
        <f>SUMIFS('03_Calculation'!$AC$2:$AC$181,'03_Calculation'!$A$2:$A$181,"Base",'03_Calculation'!$B$2:$B$181,$A20,'03_Calculation'!$C$2:$C$181,E$18)/1000000000000000</f>
        <v/>
      </c>
      <c r="F20" s="12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2">
        <f>SUMIFS('03_Calculation'!$AC$2:$AC$181,'03_Calculation'!$A$2:$A$181,"Base",'03_Calculation'!$B$2:$B$181,$A21,'03_Calculation'!$C$2:$C$181,B$18)/1000000000000000</f>
        <v/>
      </c>
      <c r="C21" s="12">
        <f>SUMIFS('03_Calculation'!$AC$2:$AC$181,'03_Calculation'!$A$2:$A$181,"Base",'03_Calculation'!$B$2:$B$181,$A21,'03_Calculation'!$C$2:$C$181,C$18)/1000000000000000</f>
        <v/>
      </c>
      <c r="D21" s="12">
        <f>SUMIFS('03_Calculation'!$AC$2:$AC$181,'03_Calculation'!$A$2:$A$181,"Base",'03_Calculation'!$B$2:$B$181,$A21,'03_Calculation'!$C$2:$C$181,D$18)/1000000000000000</f>
        <v/>
      </c>
      <c r="E21" s="12">
        <f>SUMIFS('03_Calculation'!$AC$2:$AC$181,'03_Calculation'!$A$2:$A$181,"Base",'03_Calculation'!$B$2:$B$181,$A21,'03_Calculation'!$C$2:$C$181,E$18)/1000000000000000</f>
        <v/>
      </c>
      <c r="F21" s="12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2">
        <f>SUMIFS('03_Calculation'!$AC$2:$AC$181,'03_Calculation'!$A$2:$A$181,"Base",'03_Calculation'!$B$2:$B$181,$A22,'03_Calculation'!$C$2:$C$181,B$18)/1000000000000000</f>
        <v/>
      </c>
      <c r="C22" s="12">
        <f>SUMIFS('03_Calculation'!$AC$2:$AC$181,'03_Calculation'!$A$2:$A$181,"Base",'03_Calculation'!$B$2:$B$181,$A22,'03_Calculation'!$C$2:$C$181,C$18)/1000000000000000</f>
        <v/>
      </c>
      <c r="D22" s="12">
        <f>SUMIFS('03_Calculation'!$AC$2:$AC$181,'03_Calculation'!$A$2:$A$181,"Base",'03_Calculation'!$B$2:$B$181,$A22,'03_Calculation'!$C$2:$C$181,D$18)/1000000000000000</f>
        <v/>
      </c>
      <c r="E22" s="12">
        <f>SUMIFS('03_Calculation'!$AC$2:$AC$181,'03_Calculation'!$A$2:$A$181,"Base",'03_Calculation'!$B$2:$B$181,$A22,'03_Calculation'!$C$2:$C$181,E$18)/1000000000000000</f>
        <v/>
      </c>
      <c r="F22" s="12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2">
        <f>SUMIFS('03_Calculation'!$AC$2:$AC$181,'03_Calculation'!$A$2:$A$181,"Base",'03_Calculation'!$B$2:$B$181,$A23,'03_Calculation'!$C$2:$C$181,B$18)/1000000000000000</f>
        <v/>
      </c>
      <c r="C23" s="12">
        <f>SUMIFS('03_Calculation'!$AC$2:$AC$181,'03_Calculation'!$A$2:$A$181,"Base",'03_Calculation'!$B$2:$B$181,$A23,'03_Calculation'!$C$2:$C$181,C$18)/1000000000000000</f>
        <v/>
      </c>
      <c r="D23" s="12">
        <f>SUMIFS('03_Calculation'!$AC$2:$AC$181,'03_Calculation'!$A$2:$A$181,"Base",'03_Calculation'!$B$2:$B$181,$A23,'03_Calculation'!$C$2:$C$181,D$18)/1000000000000000</f>
        <v/>
      </c>
      <c r="E23" s="12">
        <f>SUMIFS('03_Calculation'!$AC$2:$AC$181,'03_Calculation'!$A$2:$A$181,"Base",'03_Calculation'!$B$2:$B$181,$A23,'03_Calculation'!$C$2:$C$181,E$18)/1000000000000000</f>
        <v/>
      </c>
      <c r="F23" s="12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2">
        <f>SUMIFS('03_Calculation'!$AC$2:$AC$181,'03_Calculation'!$A$2:$A$181,"Base",'03_Calculation'!$B$2:$B$181,$A24,'03_Calculation'!$C$2:$C$181,B$18)/1000000000000000</f>
        <v/>
      </c>
      <c r="C24" s="12">
        <f>SUMIFS('03_Calculation'!$AC$2:$AC$181,'03_Calculation'!$A$2:$A$181,"Base",'03_Calculation'!$B$2:$B$181,$A24,'03_Calculation'!$C$2:$C$181,C$18)/1000000000000000</f>
        <v/>
      </c>
      <c r="D24" s="12">
        <f>SUMIFS('03_Calculation'!$AC$2:$AC$181,'03_Calculation'!$A$2:$A$181,"Base",'03_Calculation'!$B$2:$B$181,$A24,'03_Calculation'!$C$2:$C$181,D$18)/1000000000000000</f>
        <v/>
      </c>
      <c r="E24" s="12">
        <f>SUMIFS('03_Calculation'!$AC$2:$AC$181,'03_Calculation'!$A$2:$A$181,"Base",'03_Calculation'!$B$2:$B$181,$A24,'03_Calculation'!$C$2:$C$181,E$18)/1000000000000000</f>
        <v/>
      </c>
      <c r="F24" s="12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2">
        <f>SUMIFS('03_Calculation'!$AC$2:$AC$181,'03_Calculation'!$A$2:$A$181,"Base",'03_Calculation'!$B$2:$B$181,$A25,'03_Calculation'!$C$2:$C$181,B$18)/1000000000000000</f>
        <v/>
      </c>
      <c r="C25" s="12">
        <f>SUMIFS('03_Calculation'!$AC$2:$AC$181,'03_Calculation'!$A$2:$A$181,"Base",'03_Calculation'!$B$2:$B$181,$A25,'03_Calculation'!$C$2:$C$181,C$18)/1000000000000000</f>
        <v/>
      </c>
      <c r="D25" s="12">
        <f>SUMIFS('03_Calculation'!$AC$2:$AC$181,'03_Calculation'!$A$2:$A$181,"Base",'03_Calculation'!$B$2:$B$181,$A25,'03_Calculation'!$C$2:$C$181,D$18)/1000000000000000</f>
        <v/>
      </c>
      <c r="E25" s="12">
        <f>SUMIFS('03_Calculation'!$AC$2:$AC$181,'03_Calculation'!$A$2:$A$181,"Base",'03_Calculation'!$B$2:$B$181,$A25,'03_Calculation'!$C$2:$C$181,E$18)/1000000000000000</f>
        <v/>
      </c>
      <c r="F25" s="12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2">
        <f>SUMIFS('03_Calculation'!$AC$2:$AC$181,'03_Calculation'!$A$2:$A$181,"Base",'03_Calculation'!$B$2:$B$181,$A26,'03_Calculation'!$C$2:$C$181,B$18)/1000000000000000</f>
        <v/>
      </c>
      <c r="C26" s="12">
        <f>SUMIFS('03_Calculation'!$AC$2:$AC$181,'03_Calculation'!$A$2:$A$181,"Base",'03_Calculation'!$B$2:$B$181,$A26,'03_Calculation'!$C$2:$C$181,C$18)/1000000000000000</f>
        <v/>
      </c>
      <c r="D26" s="12">
        <f>SUMIFS('03_Calculation'!$AC$2:$AC$181,'03_Calculation'!$A$2:$A$181,"Base",'03_Calculation'!$B$2:$B$181,$A26,'03_Calculation'!$C$2:$C$181,D$18)/1000000000000000</f>
        <v/>
      </c>
      <c r="E26" s="12">
        <f>SUMIFS('03_Calculation'!$AC$2:$AC$181,'03_Calculation'!$A$2:$A$181,"Base",'03_Calculation'!$B$2:$B$181,$A26,'03_Calculation'!$C$2:$C$181,E$18)/1000000000000000</f>
        <v/>
      </c>
      <c r="F26" s="12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2">
        <f>SUMIFS('03_Calculation'!$AC$2:$AC$181,'03_Calculation'!$A$2:$A$181,"Base",'03_Calculation'!$B$2:$B$181,$A27,'03_Calculation'!$C$2:$C$181,B$18)/1000000000000000</f>
        <v/>
      </c>
      <c r="C27" s="12">
        <f>SUMIFS('03_Calculation'!$AC$2:$AC$181,'03_Calculation'!$A$2:$A$181,"Base",'03_Calculation'!$B$2:$B$181,$A27,'03_Calculation'!$C$2:$C$181,C$18)/1000000000000000</f>
        <v/>
      </c>
      <c r="D27" s="12">
        <f>SUMIFS('03_Calculation'!$AC$2:$AC$181,'03_Calculation'!$A$2:$A$181,"Base",'03_Calculation'!$B$2:$B$181,$A27,'03_Calculation'!$C$2:$C$181,D$18)/1000000000000000</f>
        <v/>
      </c>
      <c r="E27" s="12">
        <f>SUMIFS('03_Calculation'!$AC$2:$AC$181,'03_Calculation'!$A$2:$A$181,"Base",'03_Calculation'!$B$2:$B$181,$A27,'03_Calculation'!$C$2:$C$181,E$18)/1000000000000000</f>
        <v/>
      </c>
      <c r="F27" s="12">
        <f>SUMIFS('03_Calculation'!$AC$2:$AC$181,'03_Calculation'!$A$2:$A$181,"Base",'03_Calculation'!$B$2:$B$181,$A27,'03_Calculation'!$C$2:$C$181,F$18)/1000000000000000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2">
        <f>SUMIFS('03_Calculation'!$AB$2:$AB$181,'03_Calculation'!$A$2:$A$181,$A32,'03_Calculation'!$C$2:$C$181,B$31)/1000000000000000</f>
        <v/>
      </c>
      <c r="C32" s="12">
        <f>SUMIFS('03_Calculation'!$AB$2:$AB$181,'03_Calculation'!$A$2:$A$181,$A32,'03_Calculation'!$C$2:$C$181,C$31)/1000000000000000</f>
        <v/>
      </c>
      <c r="D32" s="12">
        <f>SUMIFS('03_Calculation'!$AB$2:$AB$181,'03_Calculation'!$A$2:$A$181,$A32,'03_Calculation'!$C$2:$C$181,D$31)/1000000000000000</f>
        <v/>
      </c>
      <c r="E32" s="12">
        <f>SUMIFS('03_Calculation'!$AB$2:$AB$181,'03_Calculation'!$A$2:$A$181,$A32,'03_Calculation'!$C$2:$C$181,E$31)/1000000000000000</f>
        <v/>
      </c>
      <c r="F32" s="12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2">
        <f>SUMIFS('03_Calculation'!$AB$2:$AB$181,'03_Calculation'!$A$2:$A$181,$A33,'03_Calculation'!$C$2:$C$181,B$31)/1000000000000000</f>
        <v/>
      </c>
      <c r="C33" s="12">
        <f>SUMIFS('03_Calculation'!$AB$2:$AB$181,'03_Calculation'!$A$2:$A$181,$A33,'03_Calculation'!$C$2:$C$181,C$31)/1000000000000000</f>
        <v/>
      </c>
      <c r="D33" s="12">
        <f>SUMIFS('03_Calculation'!$AB$2:$AB$181,'03_Calculation'!$A$2:$A$181,$A33,'03_Calculation'!$C$2:$C$181,D$31)/1000000000000000</f>
        <v/>
      </c>
      <c r="E33" s="12">
        <f>SUMIFS('03_Calculation'!$AB$2:$AB$181,'03_Calculation'!$A$2:$A$181,$A33,'03_Calculation'!$C$2:$C$181,E$31)/1000000000000000</f>
        <v/>
      </c>
      <c r="F33" s="12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2">
        <f>SUMIFS('03_Calculation'!$AB$2:$AB$181,'03_Calculation'!$A$2:$A$181,$A34,'03_Calculation'!$C$2:$C$181,B$31)/1000000000000000</f>
        <v/>
      </c>
      <c r="C34" s="12">
        <f>SUMIFS('03_Calculation'!$AB$2:$AB$181,'03_Calculation'!$A$2:$A$181,$A34,'03_Calculation'!$C$2:$C$181,C$31)/1000000000000000</f>
        <v/>
      </c>
      <c r="D34" s="12">
        <f>SUMIFS('03_Calculation'!$AB$2:$AB$181,'03_Calculation'!$A$2:$A$181,$A34,'03_Calculation'!$C$2:$C$181,D$31)/1000000000000000</f>
        <v/>
      </c>
      <c r="E34" s="12">
        <f>SUMIFS('03_Calculation'!$AB$2:$AB$181,'03_Calculation'!$A$2:$A$181,$A34,'03_Calculation'!$C$2:$C$181,E$31)/1000000000000000</f>
        <v/>
      </c>
      <c r="F34" s="12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2">
        <f>SUMIFS('03_Calculation'!$AB$2:$AB$181,'03_Calculation'!$A$2:$A$181,$A35,'03_Calculation'!$C$2:$C$181,B$31)/1000000000000000</f>
        <v/>
      </c>
      <c r="C35" s="12">
        <f>SUMIFS('03_Calculation'!$AB$2:$AB$181,'03_Calculation'!$A$2:$A$181,$A35,'03_Calculation'!$C$2:$C$181,C$31)/1000000000000000</f>
        <v/>
      </c>
      <c r="D35" s="12">
        <f>SUMIFS('03_Calculation'!$AB$2:$AB$181,'03_Calculation'!$A$2:$A$181,$A35,'03_Calculation'!$C$2:$C$181,D$31)/1000000000000000</f>
        <v/>
      </c>
      <c r="E35" s="12">
        <f>SUMIFS('03_Calculation'!$AB$2:$AB$181,'03_Calculation'!$A$2:$A$181,$A35,'03_Calculation'!$C$2:$C$181,E$31)/1000000000000000</f>
        <v/>
      </c>
      <c r="F35" s="12">
        <f>SUMIFS('03_Calculation'!$AB$2:$AB$181,'03_Calculation'!$A$2:$A$181,$A35,'03_Calculation'!$C$2:$C$181,F$31)/1000000000000000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2">
        <f>SUMIFS('03_Calculation'!$AC$2:$AC$181,'03_Calculation'!$A$2:$A$181,$A39,'03_Calculation'!$C$2:$C$181,B$38)/1000000000000000</f>
        <v/>
      </c>
      <c r="C39" s="12">
        <f>SUMIFS('03_Calculation'!$AC$2:$AC$181,'03_Calculation'!$A$2:$A$181,$A39,'03_Calculation'!$C$2:$C$181,C$38)/1000000000000000</f>
        <v/>
      </c>
      <c r="D39" s="12">
        <f>SUMIFS('03_Calculation'!$AC$2:$AC$181,'03_Calculation'!$A$2:$A$181,$A39,'03_Calculation'!$C$2:$C$181,D$38)/1000000000000000</f>
        <v/>
      </c>
      <c r="E39" s="12">
        <f>SUMIFS('03_Calculation'!$AC$2:$AC$181,'03_Calculation'!$A$2:$A$181,$A39,'03_Calculation'!$C$2:$C$181,E$38)/1000000000000000</f>
        <v/>
      </c>
      <c r="F39" s="12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2">
        <f>SUMIFS('03_Calculation'!$AC$2:$AC$181,'03_Calculation'!$A$2:$A$181,$A40,'03_Calculation'!$C$2:$C$181,B$38)/1000000000000000</f>
        <v/>
      </c>
      <c r="C40" s="12">
        <f>SUMIFS('03_Calculation'!$AC$2:$AC$181,'03_Calculation'!$A$2:$A$181,$A40,'03_Calculation'!$C$2:$C$181,C$38)/1000000000000000</f>
        <v/>
      </c>
      <c r="D40" s="12">
        <f>SUMIFS('03_Calculation'!$AC$2:$AC$181,'03_Calculation'!$A$2:$A$181,$A40,'03_Calculation'!$C$2:$C$181,D$38)/1000000000000000</f>
        <v/>
      </c>
      <c r="E40" s="12">
        <f>SUMIFS('03_Calculation'!$AC$2:$AC$181,'03_Calculation'!$A$2:$A$181,$A40,'03_Calculation'!$C$2:$C$181,E$38)/1000000000000000</f>
        <v/>
      </c>
      <c r="F40" s="12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2">
        <f>SUMIFS('03_Calculation'!$AC$2:$AC$181,'03_Calculation'!$A$2:$A$181,$A41,'03_Calculation'!$C$2:$C$181,B$38)/1000000000000000</f>
        <v/>
      </c>
      <c r="C41" s="12">
        <f>SUMIFS('03_Calculation'!$AC$2:$AC$181,'03_Calculation'!$A$2:$A$181,$A41,'03_Calculation'!$C$2:$C$181,C$38)/1000000000000000</f>
        <v/>
      </c>
      <c r="D41" s="12">
        <f>SUMIFS('03_Calculation'!$AC$2:$AC$181,'03_Calculation'!$A$2:$A$181,$A41,'03_Calculation'!$C$2:$C$181,D$38)/1000000000000000</f>
        <v/>
      </c>
      <c r="E41" s="12">
        <f>SUMIFS('03_Calculation'!$AC$2:$AC$181,'03_Calculation'!$A$2:$A$181,$A41,'03_Calculation'!$C$2:$C$181,E$38)/1000000000000000</f>
        <v/>
      </c>
      <c r="F41" s="12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2">
        <f>SUMIFS('03_Calculation'!$AC$2:$AC$181,'03_Calculation'!$A$2:$A$181,$A42,'03_Calculation'!$C$2:$C$181,B$38)/1000000000000000</f>
        <v/>
      </c>
      <c r="C42" s="12">
        <f>SUMIFS('03_Calculation'!$AC$2:$AC$181,'03_Calculation'!$A$2:$A$181,$A42,'03_Calculation'!$C$2:$C$181,C$38)/1000000000000000</f>
        <v/>
      </c>
      <c r="D42" s="12">
        <f>SUMIFS('03_Calculation'!$AC$2:$AC$181,'03_Calculation'!$A$2:$A$181,$A42,'03_Calculation'!$C$2:$C$181,D$38)/1000000000000000</f>
        <v/>
      </c>
      <c r="E42" s="12">
        <f>SUMIFS('03_Calculation'!$AC$2:$AC$181,'03_Calculation'!$A$2:$A$181,$A42,'03_Calculation'!$C$2:$C$181,E$38)/1000000000000000</f>
        <v/>
      </c>
      <c r="F42" s="12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17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17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17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17">
        <f>B9</f>
        <v/>
      </c>
    </row>
  </sheetData>
  <autoFilter ref="A1:C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'03_Calculation'!AB51/1000000000000000</f>
        <v/>
      </c>
      <c r="C4" s="20">
        <f>'03_Calculation'!AB96/1000000000000000</f>
        <v/>
      </c>
      <c r="D4" s="21">
        <f>C4/B4-1</f>
        <v/>
      </c>
      <c r="E4" s="21">
        <f>'03_Calculation'!Z96</f>
        <v/>
      </c>
      <c r="F4" s="19">
        <f>'03_Calculation'!AA96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'03_Calculation'!AB56/1000000000000000</f>
        <v/>
      </c>
      <c r="C5" s="20">
        <f>'03_Calculation'!AB101/1000000000000000</f>
        <v/>
      </c>
      <c r="D5" s="21">
        <f>C5/B5-1</f>
        <v/>
      </c>
      <c r="E5" s="21">
        <f>'03_Calculation'!Z101</f>
        <v/>
      </c>
      <c r="F5" s="19">
        <f>'03_Calculation'!AA101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'03_Calculation'!AB61/1000000000000000</f>
        <v/>
      </c>
      <c r="C6" s="20">
        <f>'03_Calculation'!AB106/1000000000000000</f>
        <v/>
      </c>
      <c r="D6" s="21">
        <f>C6/B6-1</f>
        <v/>
      </c>
      <c r="E6" s="21">
        <f>'03_Calculation'!Z106</f>
        <v/>
      </c>
      <c r="F6" s="19">
        <f>'03_Calculation'!AA106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'03_Calculation'!AB66/1000000000000000</f>
        <v/>
      </c>
      <c r="C7" s="20">
        <f>'03_Calculation'!AB111/1000000000000000</f>
        <v/>
      </c>
      <c r="D7" s="21">
        <f>C7/B7-1</f>
        <v/>
      </c>
      <c r="E7" s="21">
        <f>'03_Calculation'!Z111</f>
        <v/>
      </c>
      <c r="F7" s="19">
        <f>'03_Calculation'!AA111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'03_Calculation'!AB71/1000000000000000</f>
        <v/>
      </c>
      <c r="C8" s="20">
        <f>'03_Calculation'!AB116/1000000000000000</f>
        <v/>
      </c>
      <c r="D8" s="21">
        <f>C8/B8-1</f>
        <v/>
      </c>
      <c r="E8" s="21">
        <f>'03_Calculation'!Z116</f>
        <v/>
      </c>
      <c r="F8" s="19">
        <f>'03_Calculation'!AA116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'03_Calculation'!AB76/1000000000000000</f>
        <v/>
      </c>
      <c r="C9" s="20">
        <f>'03_Calculation'!AB121/1000000000000000</f>
        <v/>
      </c>
      <c r="D9" s="21">
        <f>C9/B9-1</f>
        <v/>
      </c>
      <c r="E9" s="21">
        <f>'03_Calculation'!Z121</f>
        <v/>
      </c>
      <c r="F9" s="19">
        <f>'03_Calculation'!AA121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'03_Calculation'!AB81/1000000000000000</f>
        <v/>
      </c>
      <c r="C10" s="20">
        <f>'03_Calculation'!AB126/1000000000000000</f>
        <v/>
      </c>
      <c r="D10" s="21">
        <f>C10/B10-1</f>
        <v/>
      </c>
      <c r="E10" s="21">
        <f>'03_Calculation'!Z126</f>
        <v/>
      </c>
      <c r="F10" s="19">
        <f>'03_Calculation'!AA126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'03_Calculation'!AB86/1000000000000000</f>
        <v/>
      </c>
      <c r="C11" s="20">
        <f>'03_Calculation'!AB131/1000000000000000</f>
        <v/>
      </c>
      <c r="D11" s="21">
        <f>C11/B11-1</f>
        <v/>
      </c>
      <c r="E11" s="21">
        <f>'03_Calculation'!Z131</f>
        <v/>
      </c>
      <c r="F11" s="19">
        <f>'03_Calculation'!AA131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'03_Calculation'!AB91/1000000000000000</f>
        <v/>
      </c>
      <c r="C12" s="20">
        <f>'03_Calculation'!AB136/1000000000000000</f>
        <v/>
      </c>
      <c r="D12" s="21">
        <f>C12/B12-1</f>
        <v/>
      </c>
      <c r="E12" s="21">
        <f>'03_Calculation'!Z136</f>
        <v/>
      </c>
      <c r="F12" s="19">
        <f>'03_Calculation'!AA136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SUMIFS('03_Calculation'!$AB:$AB,'03_Calculation'!$A:$A,"Base",'03_Calculation'!$C:$C,$A15)/1000000000000000</f>
        <v/>
      </c>
      <c r="C15" s="20">
        <f>SUMIFS('03_Calculation'!$AB:$AB,'03_Calculation'!$A:$A,"Bull",'03_Calculation'!$C:$C,$A15)/1000000000000000</f>
        <v/>
      </c>
      <c r="D15" s="20">
        <f>SUMPRODUCT(('03_Calculation'!$A$2:$A$181="Bull")*('03_Calculation'!$C$2:$C$181=$A15)*('03_Calculation'!$AB$2:$AB$181/'03_Calculation'!$Z$2:$Z$181))/1000000000000000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SUMIFS('03_Calculation'!$AB:$AB,'03_Calculation'!$A:$A,"Base",'03_Calculation'!$C:$C,$A16)/1000000000000000</f>
        <v/>
      </c>
      <c r="C16" s="20">
        <f>SUMIFS('03_Calculation'!$AB:$AB,'03_Calculation'!$A:$A,"Bull",'03_Calculation'!$C:$C,$A16)/1000000000000000</f>
        <v/>
      </c>
      <c r="D16" s="20">
        <f>SUMPRODUCT(('03_Calculation'!$A$2:$A$181="Bull")*('03_Calculation'!$C$2:$C$181=$A16)*('03_Calculation'!$AB$2:$AB$181/'03_Calculation'!$Z$2:$Z$181))/1000000000000000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SUMIFS('03_Calculation'!$AB:$AB,'03_Calculation'!$A:$A,"Base",'03_Calculation'!$C:$C,$A17)/1000000000000000</f>
        <v/>
      </c>
      <c r="C17" s="20">
        <f>SUMIFS('03_Calculation'!$AB:$AB,'03_Calculation'!$A:$A,"Bull",'03_Calculation'!$C:$C,$A17)/1000000000000000</f>
        <v/>
      </c>
      <c r="D17" s="20">
        <f>SUMPRODUCT(('03_Calculation'!$A$2:$A$181="Bull")*('03_Calculation'!$C$2:$C$181=$A17)*('03_Calculation'!$AB$2:$AB$181/'03_Calculation'!$Z$2:$Z$181))/1000000000000000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SUMIFS('03_Calculation'!$AB:$AB,'03_Calculation'!$A:$A,"Base",'03_Calculation'!$C:$C,$A18)/1000000000000000</f>
        <v/>
      </c>
      <c r="C18" s="20">
        <f>SUMIFS('03_Calculation'!$AB:$AB,'03_Calculation'!$A:$A,"Bull",'03_Calculation'!$C:$C,$A18)/1000000000000000</f>
        <v/>
      </c>
      <c r="D18" s="20">
        <f>SUMPRODUCT(('03_Calculation'!$A$2:$A$181="Bull")*('03_Calculation'!$C$2:$C$181=$A18)*('03_Calculation'!$AB$2:$AB$181/'03_Calculation'!$Z$2:$Z$181))/1000000000000000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SUMIFS('03_Calculation'!$AB:$AB,'03_Calculation'!$A:$A,"Base",'03_Calculation'!$C:$C,$A19)/1000000000000000</f>
        <v/>
      </c>
      <c r="C19" s="20">
        <f>SUMIFS('03_Calculation'!$AB:$AB,'03_Calculation'!$A:$A,"Bull",'03_Calculation'!$C:$C,$A19)/1000000000000000</f>
        <v/>
      </c>
      <c r="D19" s="20">
        <f>SUMPRODUCT(('03_Calculation'!$A$2:$A$181="Bull")*('03_Calculation'!$C$2:$C$181=$A19)*('03_Calculation'!$AB$2:$AB$181/'03_Calculation'!$Z$2:$Z$181))/1000000000000000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SRC_EIA_DC_POWER</t>
        </is>
      </c>
      <c r="B51" s="3" t="inlineStr">
        <is>
          <t>U.S. electricity data and data center power context</t>
        </is>
      </c>
      <c r="C51" s="3" t="inlineStr">
        <is>
          <t>U.S. EIA</t>
        </is>
      </c>
      <c r="D51" s="3" t="inlineStr">
        <is>
          <t>2026-06-09 accessed</t>
        </is>
      </c>
      <c r="E51" s="3" t="inlineStr">
        <is>
          <t>https://www.eia.gov/</t>
        </is>
      </c>
      <c r="F51" s="3" t="inlineStr">
        <is>
          <t>Tier 2</t>
        </is>
      </c>
      <c r="G51" s="3" t="inlineStr">
        <is>
          <t>Electricity demand and regional power baseline</t>
        </is>
      </c>
      <c r="H51" s="3" t="n">
        <v>0.68</v>
      </c>
      <c r="I51" s="3" t="inlineStr">
        <is>
          <t>macro grid plausibility source. company contracted GW를 직접 바꾸지 않음.</t>
        </is>
      </c>
    </row>
    <row r="52">
      <c r="A52" s="3" t="inlineStr">
        <is>
          <t>SRC_FERC_INTERCONNECT</t>
        </is>
      </c>
      <c r="B52" s="3" t="inlineStr">
        <is>
          <t>FERC interconnection and grid reliability proceedings</t>
        </is>
      </c>
      <c r="C52" s="3" t="inlineStr">
        <is>
          <t>FERC</t>
        </is>
      </c>
      <c r="D52" s="3" t="inlineStr">
        <is>
          <t>2026-06-09 accessed</t>
        </is>
      </c>
      <c r="E52" s="3" t="inlineStr">
        <is>
          <t>https://www.ferc.gov/</t>
        </is>
      </c>
      <c r="F52" s="3" t="inlineStr">
        <is>
          <t>Tier 2</t>
        </is>
      </c>
      <c r="G52" s="3" t="inlineStr">
        <is>
          <t>Interconnection, transmission and reliability context</t>
        </is>
      </c>
      <c r="H52" s="3" t="n">
        <v>0.66</v>
      </c>
      <c r="I52" s="3" t="inlineStr">
        <is>
          <t>grid constraint context. model-owner capacity attribution fact는 아님.</t>
        </is>
      </c>
    </row>
    <row r="53">
      <c r="A53" s="3" t="inlineStr">
        <is>
          <t>SRC_UPTIME_GLOBAL_DC</t>
        </is>
      </c>
      <c r="B53" s="3" t="inlineStr">
        <is>
          <t>Uptime Institute Global Data Center Survey</t>
        </is>
      </c>
      <c r="C53" s="3" t="inlineStr">
        <is>
          <t>Uptime Institute</t>
        </is>
      </c>
      <c r="D53" s="3" t="inlineStr">
        <is>
          <t>2026-06-09 accessed</t>
        </is>
      </c>
      <c r="E53" s="3" t="inlineStr">
        <is>
          <t>https://uptimeinstitute.com/resources/research-and-reports</t>
        </is>
      </c>
      <c r="F53" s="3" t="inlineStr">
        <is>
          <t>Tier 2</t>
        </is>
      </c>
      <c r="G53" s="3" t="inlineStr">
        <is>
          <t>PUE, cooling, outage and density operating context</t>
        </is>
      </c>
      <c r="H53" s="3" t="n">
        <v>0.68</v>
      </c>
      <c r="I53" s="3" t="inlineStr">
        <is>
          <t>facility/PUE context. company site-level PUE가 있으면 교체.</t>
        </is>
      </c>
    </row>
    <row r="54">
      <c r="A54" s="3" t="inlineStr">
        <is>
          <t>SRC_ASHRAE_TC99</t>
        </is>
      </c>
      <c r="B54" s="3" t="inlineStr">
        <is>
          <t>ASHRAE TC 9.9 data center thermal guidance</t>
        </is>
      </c>
      <c r="C54" s="3" t="inlineStr">
        <is>
          <t>ASHRAE</t>
        </is>
      </c>
      <c r="D54" s="3" t="inlineStr">
        <is>
          <t>2026-06-09 accessed</t>
        </is>
      </c>
      <c r="E54" s="3" t="inlineStr">
        <is>
          <t>https://www.ashrae.org/technical-resources/bookstore/datacom-series</t>
        </is>
      </c>
      <c r="F54" s="3" t="inlineStr">
        <is>
          <t>Tier 2</t>
        </is>
      </c>
      <c r="G54" s="3" t="inlineStr">
        <is>
          <t>Thermal envelope and cooling design reference</t>
        </is>
      </c>
      <c r="H54" s="3" t="n">
        <v>0.64</v>
      </c>
      <c r="I54" s="3" t="inlineStr">
        <is>
          <t>cooling design reference. PUE 숫자 자체의 direct fact는 아님.</t>
        </is>
      </c>
    </row>
    <row r="55">
      <c r="A55" s="3" t="inlineStr">
        <is>
          <t>SRC_MISTRAL_MODELS</t>
        </is>
      </c>
      <c r="B55" s="3" t="inlineStr">
        <is>
          <t>Mistral AI model documentation</t>
        </is>
      </c>
      <c r="C55" s="3" t="inlineStr">
        <is>
          <t>Mistral AI</t>
        </is>
      </c>
      <c r="D55" s="3" t="inlineStr">
        <is>
          <t>2026-06-09 accessed</t>
        </is>
      </c>
      <c r="E55" s="3" t="inlineStr">
        <is>
          <t>https://docs.mistral.ai/</t>
        </is>
      </c>
      <c r="F55" s="3" t="inlineStr">
        <is>
          <t>Tier 1/2</t>
        </is>
      </c>
      <c r="G55" s="3" t="inlineStr">
        <is>
          <t>Dense/MoE open model family and context anchor</t>
        </is>
      </c>
      <c r="H55" s="3" t="n">
        <v>0.72</v>
      </c>
      <c r="I55" s="3" t="inlineStr">
        <is>
          <t>open/served model family 비교 anchor. 본 모델의 core company row에는 직접 포함하지 않음.</t>
        </is>
      </c>
    </row>
    <row r="56">
      <c r="A56" s="3" t="inlineStr">
        <is>
          <t>SRC_DBRX_MODEL</t>
        </is>
      </c>
      <c r="B56" s="3" t="inlineStr">
        <is>
          <t>Introducing DBRX</t>
        </is>
      </c>
      <c r="C56" s="3" t="inlineStr">
        <is>
          <t>Databricks</t>
        </is>
      </c>
      <c r="D56" s="3" t="inlineStr">
        <is>
          <t>2024</t>
        </is>
      </c>
      <c r="E56" s="3" t="inlineStr">
        <is>
          <t>https://www.databricks.com/blog/introducing-dbrx-new-state-art-open-llm</t>
        </is>
      </c>
      <c r="F56" s="3" t="inlineStr">
        <is>
          <t>Tier 1/2</t>
        </is>
      </c>
      <c r="G56" s="3" t="inlineStr">
        <is>
          <t>Open MoE parameter anchor</t>
        </is>
      </c>
      <c r="H56" s="3" t="n">
        <v>0.7</v>
      </c>
      <c r="I56" s="3" t="inlineStr">
        <is>
          <t>MoE total/active parameter 읽기용 비교 source.</t>
        </is>
      </c>
    </row>
    <row r="57">
      <c r="A57" s="3" t="inlineStr">
        <is>
          <t>SRC_OPENAI_API_PRICING</t>
        </is>
      </c>
      <c r="B57" s="3" t="inlineStr">
        <is>
          <t>OpenAI API pricing</t>
        </is>
      </c>
      <c r="C57" s="3" t="inlineStr">
        <is>
          <t>OpenAI</t>
        </is>
      </c>
      <c r="D57" s="3" t="inlineStr">
        <is>
          <t>2026-06-09 accessed</t>
        </is>
      </c>
      <c r="E57" s="3" t="inlineStr">
        <is>
          <t>https://openai.com/api/pricing/</t>
        </is>
      </c>
      <c r="F57" s="3" t="inlineStr">
        <is>
          <t>Tier 1</t>
        </is>
      </c>
      <c r="G57" s="3" t="inlineStr">
        <is>
          <t>Commercial token surface and price proxy</t>
        </is>
      </c>
      <c r="H57" s="3" t="n">
        <v>0.78</v>
      </c>
      <c r="I57" s="3" t="inlineStr">
        <is>
          <t>price surface proxy. output volume 또는 tokens/MW production fact는 아님.</t>
        </is>
      </c>
    </row>
    <row r="58">
      <c r="A58" s="3" t="inlineStr">
        <is>
          <t>SRC_OPENAI_CODEX_RATE_CARD</t>
        </is>
      </c>
      <c r="B58" s="3" t="inlineStr">
        <is>
          <t>Codex rate card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https://help.openai.com/en/articles/20001106</t>
        </is>
      </c>
      <c r="F58" s="3" t="inlineStr">
        <is>
          <t>Tier 1</t>
        </is>
      </c>
      <c r="G58" s="3" t="inlineStr">
        <is>
          <t>Codex usage is token-metered with separate input/cached-input/output token rates; supports modeling Codex as high-context agentic workload.</t>
        </is>
      </c>
      <c r="H58" s="3" t="n">
        <v>0.84</v>
      </c>
      <c r="I58" s="3" t="inlineStr">
        <is>
          <t>Codex seat/usage pricing이 token 기반으로 바뀐 점은 agentic workload가 별도 consumption surface임을 보여준다.</t>
        </is>
      </c>
    </row>
    <row r="59">
      <c r="A59" s="3" t="inlineStr">
        <is>
          <t>SRC_OPENAI_CHATGPT_ENTERPRISE</t>
        </is>
      </c>
      <c r="B59" s="3" t="inlineStr">
        <is>
          <t>What is ChatGPT Enterprise?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https://help.openai.com/en/articles/8265053-what-is-chatgpt-enterprise</t>
        </is>
      </c>
      <c r="F59" s="3" t="inlineStr">
        <is>
          <t>Tier 1</t>
        </is>
      </c>
      <c r="G59" s="3" t="inlineStr">
        <is>
          <t>Enterprise includes ChatGPT, ChatGPT Agent, Deep Research and Codex/Codex seats; supports separating chat and agentic surfaces.</t>
        </is>
      </c>
      <c r="H59" s="3" t="n">
        <v>0.82</v>
      </c>
      <c r="I59" s="3" t="inlineStr">
        <is>
          <t>ChatGPT Enterprise의 standard/Codex seat 구분과 advanced tools는 workload mix 근거로만 사용.</t>
        </is>
      </c>
    </row>
    <row r="60">
      <c r="A60" s="3" t="inlineStr">
        <is>
          <t>SRC_ANTHROPIC_PRICING</t>
        </is>
      </c>
      <c r="B60" s="3" t="inlineStr">
        <is>
          <t>Anthropic API pricing</t>
        </is>
      </c>
      <c r="C60" s="3" t="inlineStr">
        <is>
          <t>Anthropic</t>
        </is>
      </c>
      <c r="D60" s="3" t="inlineStr">
        <is>
          <t>2026-06-09 accessed</t>
        </is>
      </c>
      <c r="E60" s="3" t="inlineStr">
        <is>
          <t>https://www.anthropic.com/pricing</t>
        </is>
      </c>
      <c r="F60" s="3" t="inlineStr">
        <is>
          <t>Tier 1</t>
        </is>
      </c>
      <c r="G60" s="3" t="inlineStr">
        <is>
          <t>Commercial token surface and price proxy</t>
        </is>
      </c>
      <c r="H60" s="3" t="n">
        <v>0.78</v>
      </c>
      <c r="I60" s="3" t="inlineStr">
        <is>
          <t>price surface proxy. Claude production output volume은 공개하지 않음.</t>
        </is>
      </c>
    </row>
    <row r="61">
      <c r="A61" s="3" t="inlineStr">
        <is>
          <t>SRC_ANTHROPIC_CONSUMPTION_GUIDE</t>
        </is>
      </c>
      <c r="B61" s="3" t="inlineStr">
        <is>
          <t>Claude Enterprise consumption guide</t>
        </is>
      </c>
      <c r="C61" s="3" t="inlineStr">
        <is>
          <t>Anthropic Help Center</t>
        </is>
      </c>
      <c r="D61" s="3" t="inlineStr">
        <is>
          <t>2026-07 accessed</t>
        </is>
      </c>
      <c r="E61" s="3" t="inlineStr">
        <is>
          <t>https://support.claude.com/en/articles/14782391-claude-enterprise-consumption-guide</t>
        </is>
      </c>
      <c r="F61" s="3" t="inlineStr">
        <is>
          <t>Tier 1</t>
        </is>
      </c>
      <c r="G61" s="3" t="inlineStr">
        <is>
          <t>Anthropic states Claude Code and Cowork are significantly more token-intensive than standard chat.</t>
        </is>
      </c>
      <c r="H61" s="3" t="n">
        <v>0.88</v>
      </c>
      <c r="I61" s="3" t="inlineStr">
        <is>
          <t>Claude의 agentic/coding workload 비중 및 high token intensity를 정당화하되, 회사별 traffic share는 scenario.</t>
        </is>
      </c>
    </row>
    <row r="62">
      <c r="A62" s="3" t="inlineStr">
        <is>
          <t>SRC_ANTHROPIC_CODE_PRACTICE</t>
        </is>
      </c>
      <c r="B62" s="3" t="inlineStr">
        <is>
          <t>Agentic coding and persistent returns to expertise</t>
        </is>
      </c>
      <c r="C62" s="3" t="inlineStr">
        <is>
          <t>Anthropic Research</t>
        </is>
      </c>
      <c r="D62" s="3" t="inlineStr">
        <is>
          <t>2026-06-16</t>
        </is>
      </c>
      <c r="E62" s="3" t="inlineStr">
        <is>
          <t>https://www.anthropic.com/research/claude-code-expertise</t>
        </is>
      </c>
      <c r="F62" s="3" t="inlineStr">
        <is>
          <t>Tier 1</t>
        </is>
      </c>
      <c r="G62" s="3" t="inlineStr">
        <is>
          <t>Claude Code usage study of roughly 400k sessions; supports agentic coding as a major Claude surface.</t>
        </is>
      </c>
      <c r="H62" s="3" t="n">
        <v>0.84</v>
      </c>
      <c r="I62" s="3" t="inlineStr">
        <is>
          <t>Claude Code adoption/usage intensity direction의 근거. tokens/MW 생산 telemetry는 아님.</t>
        </is>
      </c>
    </row>
    <row r="63">
      <c r="A63" s="3" t="inlineStr">
        <is>
          <t>SRC_GOOGLE_GEMINI_LONG_CONTEXT</t>
        </is>
      </c>
      <c r="B63" s="3" t="inlineStr">
        <is>
          <t>Gemini API long context documentation</t>
        </is>
      </c>
      <c r="C63" s="3" t="inlineStr">
        <is>
          <t>Google AI for Developers</t>
        </is>
      </c>
      <c r="D63" s="3" t="inlineStr">
        <is>
          <t>2026-07 accessed</t>
        </is>
      </c>
      <c r="E63" s="3" t="inlineStr">
        <is>
          <t>https://ai.google.dev/gemini-api/docs/long-context</t>
        </is>
      </c>
      <c r="F63" s="3" t="inlineStr">
        <is>
          <t>Tier 1</t>
        </is>
      </c>
      <c r="G63" s="3" t="inlineStr">
        <is>
          <t>Gemini models support 1M+ context windows and long-context use cases; supports a separate long-chat workload class.</t>
        </is>
      </c>
      <c r="H63" s="3" t="n">
        <v>0.86</v>
      </c>
      <c r="I63" s="3" t="inlineStr">
        <is>
          <t>Gemini long context는 workload shape 근거이며, production traffic share 또는 tokens/MW fact가 아님.</t>
        </is>
      </c>
    </row>
    <row r="64">
      <c r="A64" s="3" t="inlineStr">
        <is>
          <t>SRC_GOOGLE_GEMINI_AGENT_PLATFORM</t>
        </is>
      </c>
      <c r="B64" s="3" t="inlineStr">
        <is>
          <t>Introducing Gemini Enterprise Agent Platform</t>
        </is>
      </c>
      <c r="C64" s="3" t="inlineStr">
        <is>
          <t>Google Cloud</t>
        </is>
      </c>
      <c r="D64" s="3" t="inlineStr">
        <is>
          <t>2026-04-22</t>
        </is>
      </c>
      <c r="E64" s="3" t="inlineStr">
        <is>
          <t>https://cloud.google.com/blog/products/ai-machine-learning/introducing-gemini-enterprise-agent-platform</t>
        </is>
      </c>
      <c r="F64" s="3" t="inlineStr">
        <is>
          <t>Tier 1</t>
        </is>
      </c>
      <c r="G64" s="3" t="inlineStr">
        <is>
          <t>Google positions Gemini Enterprise Agent Platform for agents interacting across systems.</t>
        </is>
      </c>
      <c r="H64" s="3" t="n">
        <v>0.82</v>
      </c>
      <c r="I64" s="3" t="inlineStr">
        <is>
          <t>Google agentic enterprise surface의 방향성 근거. exact traffic mix는 scenario.</t>
        </is>
      </c>
    </row>
    <row r="65">
      <c r="A65" s="3" t="inlineStr">
        <is>
          <t>SRC_META_BUSINESS_AGENT</t>
        </is>
      </c>
      <c r="B65" s="3" t="inlineStr">
        <is>
          <t>Be There for Every Customer With Meta Business Agent</t>
        </is>
      </c>
      <c r="C65" s="3" t="inlineStr">
        <is>
          <t>Meta</t>
        </is>
      </c>
      <c r="D65" s="3" t="inlineStr">
        <is>
          <t>2026-06-03</t>
        </is>
      </c>
      <c r="E65" s="3" t="inlineStr">
        <is>
          <t>https://about.fb.com/news/2026/06/meta-business-agent/</t>
        </is>
      </c>
      <c r="F65" s="3" t="inlineStr">
        <is>
          <t>Tier 1</t>
        </is>
      </c>
      <c r="G65" s="3" t="inlineStr">
        <is>
          <t>Meta discloses broad business-agent messaging surface and over one million businesses using Meta Business Agent.</t>
        </is>
      </c>
      <c r="H65" s="3" t="n">
        <v>0.86</v>
      </c>
      <c r="I65" s="3" t="inlineStr">
        <is>
          <t>Meta workload mix를 short/business chat-heavy로 두는 방향성 근거.</t>
        </is>
      </c>
    </row>
    <row r="66">
      <c r="A66" s="3" t="inlineStr">
        <is>
          <t>SRC_INFERENCEX_AGENTIC_TRACES_256K</t>
        </is>
      </c>
      <c r="B66" s="3" t="inlineStr">
        <is>
          <t>CC Traces — Weka, With Subagents, 256k cap</t>
        </is>
      </c>
      <c r="C66" s="3" t="inlineStr">
        <is>
          <t>SemiAnalysisAI / Hugging Face</t>
        </is>
      </c>
      <c r="D66" s="3" t="inlineStr">
        <is>
          <t>2026-06-21</t>
        </is>
      </c>
      <c r="E66" s="3" t="inlineStr">
        <is>
          <t>https://huggingface.co/datasets/semianalysisai/cc-traces-weka-062126-256k</t>
        </is>
      </c>
      <c r="F66" s="3" t="inlineStr">
        <is>
          <t>Tier 2</t>
        </is>
      </c>
      <c r="G66" s="3" t="inlineStr">
        <is>
          <t>Agentic coding trace profile used for input/output load-shape calibration.</t>
        </is>
      </c>
      <c r="H66" s="3" t="n">
        <v>0.74</v>
      </c>
      <c r="I66" s="3" t="inlineStr">
        <is>
          <t>평균 input 약 101k/output 약 860 tokens/request인 agentic load shape 근거. throughput telemetry는 아님.</t>
        </is>
      </c>
    </row>
    <row r="67">
      <c r="A67" s="3" t="inlineStr">
        <is>
          <t>SRC_AZURE_OPENAI</t>
        </is>
      </c>
      <c r="B67" s="3" t="inlineStr">
        <is>
          <t>Azure OpenAI Service documentation</t>
        </is>
      </c>
      <c r="C67" s="3" t="inlineStr">
        <is>
          <t>Microsoft</t>
        </is>
      </c>
      <c r="D67" s="3" t="inlineStr">
        <is>
          <t>2026-06-09 accessed</t>
        </is>
      </c>
      <c r="E67" s="3" t="inlineStr">
        <is>
          <t>https://learn.microsoft.com/azure/ai-services/openai/</t>
        </is>
      </c>
      <c r="F67" s="3" t="inlineStr">
        <is>
          <t>Tier 1</t>
        </is>
      </c>
      <c r="G67" s="3" t="inlineStr">
        <is>
          <t>Microsoft host/product surface vs OpenAI model attribution</t>
        </is>
      </c>
      <c r="H67" s="3" t="n">
        <v>0.78</v>
      </c>
      <c r="I67" s="3" t="inlineStr">
        <is>
          <t>OpenAI model owner와 Azure product/host surface 분리용.</t>
        </is>
      </c>
    </row>
    <row r="68">
      <c r="A68" s="3" t="inlineStr">
        <is>
          <t>SRC_GOOGLE_CLOUD_ANTHROPIC</t>
        </is>
      </c>
      <c r="B68" s="3" t="inlineStr">
        <is>
          <t>Google Cloud and Anthropic partnership</t>
        </is>
      </c>
      <c r="C68" s="3" t="inlineStr">
        <is>
          <t>Google Cloud</t>
        </is>
      </c>
      <c r="D68" s="3" t="inlineStr">
        <is>
          <t>2026-06-09 accessed</t>
        </is>
      </c>
      <c r="E68" s="3" t="inlineStr">
        <is>
          <t>https://cloud.google.com/blog/products/ai-machine-learning/google-cloud-anthropic-ai-partnership</t>
        </is>
      </c>
      <c r="F68" s="3" t="inlineStr">
        <is>
          <t>Tier 1/2</t>
        </is>
      </c>
      <c r="G68" s="3" t="inlineStr">
        <is>
          <t>Third-party model hosted on cloud provider</t>
        </is>
      </c>
      <c r="H68" s="3" t="n">
        <v>0.72</v>
      </c>
      <c r="I68" s="3" t="inlineStr">
        <is>
          <t>Google host capacity와 Anthropic model-owner attribution 분리용.</t>
        </is>
      </c>
    </row>
    <row r="69">
      <c r="A69" s="3" t="inlineStr">
        <is>
          <t>SRC_ARTIFICIAL_ANALYSIS</t>
        </is>
      </c>
      <c r="B69" s="3" t="inlineStr">
        <is>
          <t>Artificial Analysis model and API benchmarks</t>
        </is>
      </c>
      <c r="C69" s="3" t="inlineStr">
        <is>
          <t>Artificial Analysis</t>
        </is>
      </c>
      <c r="D69" s="3" t="inlineStr">
        <is>
          <t>2026-06-09 accessed</t>
        </is>
      </c>
      <c r="E69" s="3" t="inlineStr">
        <is>
          <t>https://artificialanalysis.ai/</t>
        </is>
      </c>
      <c r="F69" s="3" t="inlineStr">
        <is>
          <t>Tier 2</t>
        </is>
      </c>
      <c r="G69" s="3" t="inlineStr">
        <is>
          <t>Public API price/performance and latency proxy</t>
        </is>
      </c>
      <c r="H69" s="3" t="n">
        <v>0.64</v>
      </c>
      <c r="I69" s="3" t="inlineStr">
        <is>
          <t>commercial API price/latency proxy. company capacity fact 아님.</t>
        </is>
      </c>
    </row>
    <row r="70">
      <c r="A70" s="3" t="inlineStr">
        <is>
          <t>SRC_OPENROUTER_RANKINGS</t>
        </is>
      </c>
      <c r="B70" s="3" t="inlineStr">
        <is>
          <t>OpenRouter model pricing and usage market signals</t>
        </is>
      </c>
      <c r="C70" s="3" t="inlineStr">
        <is>
          <t>OpenRouter</t>
        </is>
      </c>
      <c r="D70" s="3" t="inlineStr">
        <is>
          <t>2026-06-09 accessed</t>
        </is>
      </c>
      <c r="E70" s="3" t="inlineStr">
        <is>
          <t>https://openrouter.ai/rankings</t>
        </is>
      </c>
      <c r="F70" s="3" t="inlineStr">
        <is>
          <t>Tier 2</t>
        </is>
      </c>
      <c r="G70" s="3" t="inlineStr">
        <is>
          <t>API price and demand mix proxy</t>
        </is>
      </c>
      <c r="H70" s="3" t="n">
        <v>0.58</v>
      </c>
      <c r="I70" s="3" t="inlineStr">
        <is>
          <t>market routing proxy. 전체 production traffic fact로 해석하지 않음.</t>
        </is>
      </c>
    </row>
    <row r="71">
      <c r="A71" s="3" t="inlineStr">
        <is>
          <t>SRC_SEMI_100K_CLUSTER</t>
        </is>
      </c>
      <c r="B71" s="3" t="inlineStr">
        <is>
          <t>SemiAnalysis AI infrastructure and 100k H100 cluster analysis</t>
        </is>
      </c>
      <c r="C71" s="3" t="inlineStr">
        <is>
          <t>SemiAnalysis</t>
        </is>
      </c>
      <c r="D71" s="3" t="inlineStr">
        <is>
          <t>2026-06-09 accessed</t>
        </is>
      </c>
      <c r="E71" s="3" t="inlineStr">
        <is>
          <t>https://semianalysis.com/</t>
        </is>
      </c>
      <c r="F71" s="3" t="inlineStr">
        <is>
          <t>Tier 2</t>
        </is>
      </c>
      <c r="G71" s="3" t="inlineStr">
        <is>
          <t>Accelerator cluster, networking and non-GPU overhead context</t>
        </is>
      </c>
      <c r="H71" s="3" t="n">
        <v>0.62</v>
      </c>
      <c r="I71" s="3" t="inlineStr">
        <is>
          <t>cluster architecture context. specific company active GW fact는 아님.</t>
        </is>
      </c>
    </row>
    <row r="72">
      <c r="A72" s="3" t="inlineStr">
        <is>
          <t>SRC_DELLORO_AI_NETWORKS</t>
        </is>
      </c>
      <c r="B72" s="3" t="inlineStr">
        <is>
          <t>AI networks and data center switch market context</t>
        </is>
      </c>
      <c r="C72" s="3" t="inlineStr">
        <is>
          <t>Dell'Oro Group</t>
        </is>
      </c>
      <c r="D72" s="3" t="inlineStr">
        <is>
          <t>2026-06-09 accessed</t>
        </is>
      </c>
      <c r="E72" s="3" t="inlineStr">
        <is>
          <t>https://www.delloro.com/</t>
        </is>
      </c>
      <c r="F72" s="3" t="inlineStr">
        <is>
          <t>Tier 2</t>
        </is>
      </c>
      <c r="G72" s="3" t="inlineStr">
        <is>
          <t>Network/power overhead and AI cluster infrastructure context</t>
        </is>
      </c>
      <c r="H72" s="3" t="n">
        <v>0.58</v>
      </c>
      <c r="I72" s="3" t="inlineStr">
        <is>
          <t>network overhead/context source. model equation에는 직접 계수로 넣지 않음.</t>
        </is>
      </c>
    </row>
  </sheetData>
  <autoFilter ref="A1:I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847055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338822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679824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338822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15983724556800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5834059463232000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933819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373528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679824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373528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30400995686400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1.1096363425536e+16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1007569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403028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679824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403028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48088656115200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1.7552359482048e+16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1070164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428066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679824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428066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68680963756800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2.5068551771232e+16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1119744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447898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679824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447898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91637780889600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3.3447790024704e+16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69898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27959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38266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27959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1676466374400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611910226656000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69601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27840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38266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27840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2684399616000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979805859840000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69348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27739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38266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27739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3769929820800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1376024384592000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69145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27658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38266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27658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4927460774400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1798523182656000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68985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27594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38266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27594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6146265484800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2243386901952000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403897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302923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396214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302923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13662069638400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4986655418016000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410314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307736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396214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307736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24487907558400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8938086258816000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415769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311827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396214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311827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36667861660800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1.3383769506192e+16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420398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315298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396214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315298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50043089606400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1.8265727706336e+16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424065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318049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396214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318049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64439271792000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2.352033420408e+16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849895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297463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594846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297463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2081765059200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759844246608000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922578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322902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594846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322902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6500404742400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2372647730976000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995910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348568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594846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348568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12468137932800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4550870345472000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1068593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374008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594846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374008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20131803417600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7348108247424000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1141925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399674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594846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399674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29593781395200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1.0801730209248e+16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69807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20942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28699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20942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835937625600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305117233344000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68445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20534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28699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20534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1981711699200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723324770208000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67070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20121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28699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20121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3202233004800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1168815046752000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65708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19712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28699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19712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4480900300800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1635528609792000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64334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19300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28699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19300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5796299520000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2115649324800000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54979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16494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28699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16494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411848582400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150324732576000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54576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16373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28699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16373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944970969600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344914403904000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54243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16273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28699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16273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1546585920000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564503860800000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53984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16195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28699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16195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2210811840000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806946321600000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53784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16135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28699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16135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2933110656000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1070585389440000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71980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46787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83043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46787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194035046400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70822791936000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72934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47407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83043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47407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573435072000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209303801280000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73897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48033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83043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48033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1004312390400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366574022496000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74852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48654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83043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48654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1479704371200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540092095488000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75815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49280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83043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49280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1996904448000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728870123520000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219014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153310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381258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153310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2755164672000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1005635105280000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244667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171267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381258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171267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6466493865600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2360270260944000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270549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189384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381258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189384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11290316544000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4120965538560000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296202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207341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381258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207341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17251434691200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6296773662288000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322084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225459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381258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225459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24427490630400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8916034080096000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998863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399545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679824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399545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4970979072000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1814407361280000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1083584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433434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679824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433434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11908685836800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4346670330432000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1169061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467624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679824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467624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20645786649600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7535712127104000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1253782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501513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679824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501513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31154789980800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1.1371498342992e+16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1339259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535704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679824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535704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43554020889600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1.5897217624704e+16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847055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508233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1019736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508233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31177045152000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1.137962148048e+16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933819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560291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1019736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560291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60366200572800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2.2033663209072e+16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1007569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604541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1019736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604541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97308853891200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3.5517731670288e+16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1070164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642098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1019736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642098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141966326764800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5.1817709269152e+16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1119744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671846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1019736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671846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193472298835200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7.0617389074848e+16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69898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41939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57398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41939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3268423699200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1192974650208000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69601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41761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57398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41761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5340062592000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1949122846080000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69348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41609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57398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41609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7660982505600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2796258614544000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69145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41487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57398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41487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10233681264000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3735293661360000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68985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41391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57398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41391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13056641942400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4765674308976000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403897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363507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475456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363507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21136914230400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7714973694096000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410314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369283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475456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369283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38606321952000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1.409130751248e+16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415769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374192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475456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374192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58970264371200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2.1524146495488e+16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420398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378358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475456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378358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82182989836800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2.9996791290432e+16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424065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381658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475456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381658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108158823936000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3.947797073664e+16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849895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467442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934758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467442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4442568768000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1621537600320000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922578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507418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934758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507418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13897570118400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5072613093216000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995910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547750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934758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547750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27022917600000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9863364924000000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1068593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587726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934758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587726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44279747020800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1.6162107662592e+16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1141925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628059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934758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628059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66148178774400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2.4144085252656e+16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69807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34904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47832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34904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1794344832000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654935863680000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68445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34222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47832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34222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4337597433600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1583223063264000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67070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33535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47832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33535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7150842432000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2610057487680000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65708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32854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47832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32854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10218908160000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3729901478400000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64334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32167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47832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32167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13512610425600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4932102805344000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54979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27490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47832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27490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900176544000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328564438560000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54576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27288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47832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27288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2100695731200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766753941888000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54243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27122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47832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27122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3496264473600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1276136532864000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53984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26992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47832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26992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5093325619200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1859063851008000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53784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26892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47832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26892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6891408460800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2515364088192000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71980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61183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108595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61183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322458883200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117697492368000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72934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61994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108595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61994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980199532800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357772829472000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73897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62812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108595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62812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1742053132800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635849393472000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74852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63624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108595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63624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2622123187200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957074963328000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75815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64443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108595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64443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3624686755200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1323010665648000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219014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197113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490190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197113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4530129811200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1653497381088000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244667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220200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490190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220200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10882460160000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3972097958400000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270549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243494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490190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243494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19354851072000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7064520641280000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296202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266582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490190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266582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30218882457600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1.1029892097024e+16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322084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289876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490190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289876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43779160627200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1.5979393628928e+16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998863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599318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1019736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599318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9527717836800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3477617010432000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1083584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650150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1019736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650150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23367951360000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8529302246400000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1169061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701437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1019736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701437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41271430780800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1.5064072234992e+16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1253782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752269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1019736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752269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63696120768000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2.324908408032e+16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1339259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803555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1019736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803555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91018996272000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3.322193363928e+16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847055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677644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1359648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677644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47599883020800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1.7373957302592e+16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933819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747055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1359648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747055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95462871408000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3.484394806392e+16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1007569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806055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1359648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806055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159134602320000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5.80841298468e+16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1070164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856131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1359648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856131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239661887616000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8.747658897984e+16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1119744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895795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1359648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895795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336830386176000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1.2294309095424e+17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69898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55918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76531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55918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4995579916800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1823386669632000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69601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55681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76531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55681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8457453907200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3086970676128000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69348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55478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76531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55478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12553650604800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4582082470752000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69145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55316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76531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55316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17329750502400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6325358933376000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68985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55188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76531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55188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22758824793600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8306971049664000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403897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403897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528285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403897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26765769513600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9769505872464000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410314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410314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528285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410314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50695115328000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1.850371709472e+16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415769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415769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528285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415769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80035199884800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2.9212847957952e+16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420398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420398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528285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420398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115178289811200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4.2040075781088e+16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424065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424065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528285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424065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156339534672000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5.706393015528e+16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849895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637421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1274670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637421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7049366323200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2573018707968000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922578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691934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1274670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691934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22837143283200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8335557298368000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995910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746932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1274670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746932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45690726758400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1.6677115266816e+16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1068593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801445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1274670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801445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77138760672000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2.815564764528e+16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1141925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856444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1274670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856444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118616808844800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4.3295135228352e+16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69807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48865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66965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48865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2866694544000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1046343508560000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68445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47912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66965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47912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7173921254400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2618481257856000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67070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46949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66965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46949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12230026704000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4463959746960000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65708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45996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66965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45996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18046181030400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6586856076096000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64334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45034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66965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45034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24614071257600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8984136009024000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54979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38485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66965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38485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1449745344000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529157050560000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54576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38203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66965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38203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3498783552000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1277055996480000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54243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37970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66965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37970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6023196288000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2198466645120000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53984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37789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66965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37789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9050495731200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3303430941888000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53784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37649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66965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37649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12617896694400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4605532293456000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71980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71980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127759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71980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435335040000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158897289600000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72934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72934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127759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72934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1354821984000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494510024160000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73897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73897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127759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73897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2496418012800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911192574672000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74852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74852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127759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74852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3873860467200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1413959070528000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75815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75815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127759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75815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5522000688000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2015530251120000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219014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219014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544655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219014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5733611308800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2092768127712000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244667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244667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544655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244667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14226700982400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5192745858576000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270549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270549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544655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270549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26203861065600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9564409288944000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296202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296202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544655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296202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42277740825600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1.5431375401344e+16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322084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322084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544655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322084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63141862694400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2.3046779883456e+16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998863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799090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1359648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799090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14498688960000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5292021470400000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1083584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866867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1359648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866867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36699681312000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1.339538367888e+16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1169061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935249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1359648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935249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67068576288000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2.448003034512e+16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1253782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1003026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1359648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1003026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106853563411200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3.9001550645088e+16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1339259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1071407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1359648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1071407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157553399289600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5.7506990740704e+16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847055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508233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1019736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508233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28410631286400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1.0369880419536e+16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933819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560291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1019736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560291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52814374358400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1.9277246640816e+16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1007569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604541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1019736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604541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81430221801600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2.9722030957584e+16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1070164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642098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1019736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642098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113284579622400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4.1348871562176e+16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1119744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671846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1019736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671846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146686018348800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5.3540396697312e+16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69898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41939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57398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41939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2982164860800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1088490174192000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69601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41761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57398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41761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4676162918400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1706799465216000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69348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41609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57398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41609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6417106416000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2342243841840000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69145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41487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57398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41487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8179776057600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2985618261024000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68985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41391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57398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41391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Frontier composite InferenceX proxy using DeepSeek V4 Pro and Kimi K2.5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DeepSeek V4 Pro + Kimi K2.5 frontier composite is used only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9923906160000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3622225748400000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403897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363507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475456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363507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19221086937600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7015696732224000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410314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369283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475456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369283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33724696118400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1.2309514083216e+16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415769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374192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475456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374192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49271207731200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1.7983990821888e+16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420398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378358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475456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378358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65445642662400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2.3887659571776e+16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424065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381658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475456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381658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81877548729600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2.9885305286304e+16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849895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467442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934758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467442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4079085868800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1488866342112000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922578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507418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934758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507418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12231615340800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4464539599392000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995910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547750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934758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547750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22763613600000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8308718964000000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1068593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587726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934758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587726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35494888953600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1.2955634468064e+16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1141925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628059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934758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628059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50357268172800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1.8380402883072e+16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69807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34904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47832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34904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1634512435200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596597038848000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68445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34222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47832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34222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3787636204800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1382487214752000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67070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33535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47832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33535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5974488288000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2180688225120000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65708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32854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47832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32854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8138224915200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2970452094048000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64334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32167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47832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32167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Frontier composite InferenceX proxy using DeepSeek V4 Pro and Kimi K2.5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DeepSeek V4 Pro + Kimi K2.5 frontier composite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10227561984000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3733060124160000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54979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27490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47832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27490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821797056000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299955925440000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54576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27288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47832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27288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1841350579200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672092961408000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54243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27122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47832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27122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2931519340800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1070004559392000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53984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26992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47832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26992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4069529856000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1485378397440000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53784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26892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47832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26892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Frontier composite InferenceX proxy using DeepSeek V4 Pro and Kimi K2.5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DeepSeek V4 Pro + Kimi K2.5 frontier composite is used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5230128268800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1908996818112000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71980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61183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108595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61183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296027827200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108050156928000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72934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61994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108595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61994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851648774400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310851802656000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73897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62812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108595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62812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1454424422400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530864914176000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74852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63624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108595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63624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2083406054400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760443209856000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75815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64443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108595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64443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2733826723200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997846753968000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219014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197113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490190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197113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4121396294400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1504309647456000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244667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220200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490190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220200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9493614720000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3465169372800000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270549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243494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490190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243494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16157093068800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5897338970112000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296202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266582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490190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266582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24046122931200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8776834869888000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322084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289876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490190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289876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33109868620800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1.2085102046592e+16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998863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599318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1019736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599318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8699220633600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3175215531264000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1083584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650150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1019736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650150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20390784480000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7442636335200000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1169061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701437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1019736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701437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34423161062400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1.2564453787776e+16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1253782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752269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1019736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752269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50631916406400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1.8480649488336e+16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1339259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803555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1019736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803555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68802307632000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2.511284228568e+16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508,233 -&gt; 671,846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0.031Q -&gt; 0.193Q/day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41,939 -&gt; 41,391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0.003Q -&gt; 0.013Q/day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363,507 -&gt; 381,658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0.021Q -&gt; 0.108Q/day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467,442 -&gt; 628,059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0.004Q -&gt; 0.066Q/day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34,904 -&gt; 32,167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0.002Q -&gt; 0.014Q/day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27,490 -&gt; 26,892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0.001Q -&gt; 0.007Q/day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61,183 -&gt; 64,443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0.004Q/day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197,113 -&gt; 289,876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0.005Q -&gt; 0.044Q/day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599,318 -&gt; 803,555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0.010Q -&gt; 0.091Q/day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2026-07-22T15:26:45Z</dcterms:created>
  <dcterms:modified xmlns:dcterms="http://purl.org/dc/terms/" xmlns:xsi="http://www.w3.org/2001/XMLSchema-instance" xsi:type="dcterms:W3CDTF">2026-07-22T15:26:49Z</dcterms:modified>
</cp:coreProperties>
</file>